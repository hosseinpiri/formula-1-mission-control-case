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piri/Desktop/case_study_Saed/"/>
    </mc:Choice>
  </mc:AlternateContent>
  <xr:revisionPtr revIDLastSave="0" documentId="13_ncr:1_{509D565C-2305-044E-8760-2E71E047DCF9}" xr6:coauthVersionLast="47" xr6:coauthVersionMax="47" xr10:uidLastSave="{00000000-0000-0000-0000-000000000000}"/>
  <bookViews>
    <workbookView xWindow="0" yWindow="500" windowWidth="38400" windowHeight="19400" activeTab="5" xr2:uid="{00000000-000D-0000-FFFF-FFFF00000000}"/>
  </bookViews>
  <sheets>
    <sheet name="Read Me" sheetId="1" r:id="rId1"/>
    <sheet name="Inputs" sheetId="2" r:id="rId2"/>
    <sheet name="One Race" sheetId="3" r:id="rId3"/>
    <sheet name="Monte Carlo" sheetId="4" r:id="rId4"/>
    <sheet name="Dashboard" sheetId="5" r:id="rId5"/>
    <sheet name="Questions" sheetId="6" r:id="rId6"/>
  </sheets>
  <definedNames>
    <definedName name="BaseLap">Inputs!$B$4</definedName>
    <definedName name="DecisionLap">Inputs!$B$8</definedName>
    <definedName name="Deg">Inputs!$B$5</definedName>
    <definedName name="Laps">Inputs!$B$3</definedName>
    <definedName name="MustLap">Inputs!$B$10</definedName>
    <definedName name="NoiseSD">Inputs!$B$14</definedName>
    <definedName name="PitGreen">Inputs!$B$6</definedName>
    <definedName name="PitSC">Inputs!$B$7</definedName>
    <definedName name="PlanLap">Inputs!$B$9</definedName>
    <definedName name="ProbSC">Inputs!$B$13</definedName>
    <definedName name="ReactMax">Inputs!$B$12</definedName>
    <definedName name="ReactMin">Inputs!$B$11</definedName>
    <definedName name="SecPerPos">Inputs!$B$15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03" i="4" l="1"/>
  <c r="D1003" i="4"/>
  <c r="B1003" i="4"/>
  <c r="C1003" i="4" s="1"/>
  <c r="F1002" i="4"/>
  <c r="D1002" i="4"/>
  <c r="B1002" i="4"/>
  <c r="C1002" i="4" s="1"/>
  <c r="E1002" i="4" s="1"/>
  <c r="G1002" i="4" s="1"/>
  <c r="F1001" i="4"/>
  <c r="D1001" i="4"/>
  <c r="B1001" i="4"/>
  <c r="C1001" i="4" s="1"/>
  <c r="E1001" i="4" s="1"/>
  <c r="G1001" i="4" s="1"/>
  <c r="F1000" i="4"/>
  <c r="D1000" i="4"/>
  <c r="B1000" i="4"/>
  <c r="C1000" i="4" s="1"/>
  <c r="F999" i="4"/>
  <c r="D999" i="4"/>
  <c r="B999" i="4"/>
  <c r="C999" i="4" s="1"/>
  <c r="E999" i="4" s="1"/>
  <c r="G999" i="4" s="1"/>
  <c r="H999" i="4" s="1"/>
  <c r="F998" i="4"/>
  <c r="D998" i="4"/>
  <c r="B998" i="4"/>
  <c r="C998" i="4" s="1"/>
  <c r="E998" i="4" s="1"/>
  <c r="G998" i="4" s="1"/>
  <c r="F997" i="4"/>
  <c r="D997" i="4"/>
  <c r="C997" i="4"/>
  <c r="E997" i="4" s="1"/>
  <c r="G997" i="4" s="1"/>
  <c r="H997" i="4" s="1"/>
  <c r="B997" i="4"/>
  <c r="F996" i="4"/>
  <c r="D996" i="4"/>
  <c r="C996" i="4"/>
  <c r="E996" i="4" s="1"/>
  <c r="G996" i="4" s="1"/>
  <c r="I996" i="4" s="1"/>
  <c r="B996" i="4"/>
  <c r="F995" i="4"/>
  <c r="D995" i="4"/>
  <c r="E995" i="4" s="1"/>
  <c r="G995" i="4" s="1"/>
  <c r="B995" i="4"/>
  <c r="C995" i="4" s="1"/>
  <c r="F994" i="4"/>
  <c r="D994" i="4"/>
  <c r="B994" i="4"/>
  <c r="C994" i="4" s="1"/>
  <c r="E994" i="4" s="1"/>
  <c r="G994" i="4" s="1"/>
  <c r="F993" i="4"/>
  <c r="D993" i="4"/>
  <c r="B993" i="4"/>
  <c r="C993" i="4" s="1"/>
  <c r="E993" i="4" s="1"/>
  <c r="G993" i="4" s="1"/>
  <c r="H993" i="4" s="1"/>
  <c r="F992" i="4"/>
  <c r="D992" i="4"/>
  <c r="B992" i="4"/>
  <c r="C992" i="4" s="1"/>
  <c r="E992" i="4" s="1"/>
  <c r="G992" i="4" s="1"/>
  <c r="F991" i="4"/>
  <c r="D991" i="4"/>
  <c r="B991" i="4"/>
  <c r="C991" i="4" s="1"/>
  <c r="E991" i="4" s="1"/>
  <c r="G991" i="4" s="1"/>
  <c r="F990" i="4"/>
  <c r="E990" i="4"/>
  <c r="G990" i="4" s="1"/>
  <c r="D990" i="4"/>
  <c r="B990" i="4"/>
  <c r="C990" i="4" s="1"/>
  <c r="F989" i="4"/>
  <c r="D989" i="4"/>
  <c r="B989" i="4"/>
  <c r="C989" i="4" s="1"/>
  <c r="E989" i="4" s="1"/>
  <c r="G989" i="4" s="1"/>
  <c r="F988" i="4"/>
  <c r="E988" i="4"/>
  <c r="G988" i="4" s="1"/>
  <c r="D988" i="4"/>
  <c r="B988" i="4"/>
  <c r="C988" i="4" s="1"/>
  <c r="F987" i="4"/>
  <c r="D987" i="4"/>
  <c r="B987" i="4"/>
  <c r="C987" i="4" s="1"/>
  <c r="E987" i="4" s="1"/>
  <c r="G987" i="4" s="1"/>
  <c r="F986" i="4"/>
  <c r="D986" i="4"/>
  <c r="C986" i="4"/>
  <c r="E986" i="4" s="1"/>
  <c r="G986" i="4" s="1"/>
  <c r="I986" i="4" s="1"/>
  <c r="B986" i="4"/>
  <c r="F985" i="4"/>
  <c r="D985" i="4"/>
  <c r="B985" i="4"/>
  <c r="C985" i="4" s="1"/>
  <c r="E985" i="4" s="1"/>
  <c r="G985" i="4" s="1"/>
  <c r="F984" i="4"/>
  <c r="D984" i="4"/>
  <c r="C984" i="4"/>
  <c r="E984" i="4" s="1"/>
  <c r="G984" i="4" s="1"/>
  <c r="B984" i="4"/>
  <c r="F983" i="4"/>
  <c r="D983" i="4"/>
  <c r="B983" i="4"/>
  <c r="C983" i="4" s="1"/>
  <c r="F982" i="4"/>
  <c r="D982" i="4"/>
  <c r="B982" i="4"/>
  <c r="C982" i="4" s="1"/>
  <c r="G981" i="4"/>
  <c r="H981" i="4" s="1"/>
  <c r="F981" i="4"/>
  <c r="D981" i="4"/>
  <c r="B981" i="4"/>
  <c r="C981" i="4" s="1"/>
  <c r="E981" i="4" s="1"/>
  <c r="F980" i="4"/>
  <c r="D980" i="4"/>
  <c r="B980" i="4"/>
  <c r="C980" i="4" s="1"/>
  <c r="E980" i="4" s="1"/>
  <c r="G980" i="4" s="1"/>
  <c r="F979" i="4"/>
  <c r="D979" i="4"/>
  <c r="B979" i="4"/>
  <c r="C979" i="4" s="1"/>
  <c r="E979" i="4" s="1"/>
  <c r="G979" i="4" s="1"/>
  <c r="F978" i="4"/>
  <c r="E978" i="4"/>
  <c r="G978" i="4" s="1"/>
  <c r="H978" i="4" s="1"/>
  <c r="D978" i="4"/>
  <c r="B978" i="4"/>
  <c r="C978" i="4" s="1"/>
  <c r="F977" i="4"/>
  <c r="D977" i="4"/>
  <c r="C977" i="4"/>
  <c r="E977" i="4" s="1"/>
  <c r="G977" i="4" s="1"/>
  <c r="B977" i="4"/>
  <c r="F976" i="4"/>
  <c r="D976" i="4"/>
  <c r="B976" i="4"/>
  <c r="C976" i="4" s="1"/>
  <c r="F975" i="4"/>
  <c r="D975" i="4"/>
  <c r="B975" i="4"/>
  <c r="C975" i="4" s="1"/>
  <c r="E975" i="4" s="1"/>
  <c r="G975" i="4" s="1"/>
  <c r="H974" i="4"/>
  <c r="F974" i="4"/>
  <c r="E974" i="4"/>
  <c r="G974" i="4" s="1"/>
  <c r="D974" i="4"/>
  <c r="C974" i="4"/>
  <c r="B974" i="4"/>
  <c r="F973" i="4"/>
  <c r="D973" i="4"/>
  <c r="B973" i="4"/>
  <c r="C973" i="4" s="1"/>
  <c r="E973" i="4" s="1"/>
  <c r="G973" i="4" s="1"/>
  <c r="F972" i="4"/>
  <c r="D972" i="4"/>
  <c r="C972" i="4"/>
  <c r="B972" i="4"/>
  <c r="F971" i="4"/>
  <c r="D971" i="4"/>
  <c r="B971" i="4"/>
  <c r="C971" i="4" s="1"/>
  <c r="E971" i="4" s="1"/>
  <c r="G971" i="4" s="1"/>
  <c r="F970" i="4"/>
  <c r="D970" i="4"/>
  <c r="B970" i="4"/>
  <c r="C970" i="4" s="1"/>
  <c r="E970" i="4" s="1"/>
  <c r="G970" i="4" s="1"/>
  <c r="I970" i="4" s="1"/>
  <c r="F969" i="4"/>
  <c r="E969" i="4"/>
  <c r="G969" i="4" s="1"/>
  <c r="D969" i="4"/>
  <c r="B969" i="4"/>
  <c r="C969" i="4" s="1"/>
  <c r="F968" i="4"/>
  <c r="D968" i="4"/>
  <c r="B968" i="4"/>
  <c r="C968" i="4" s="1"/>
  <c r="F967" i="4"/>
  <c r="E967" i="4"/>
  <c r="G967" i="4" s="1"/>
  <c r="D967" i="4"/>
  <c r="B967" i="4"/>
  <c r="C967" i="4" s="1"/>
  <c r="F966" i="4"/>
  <c r="D966" i="4"/>
  <c r="B966" i="4"/>
  <c r="C966" i="4" s="1"/>
  <c r="E966" i="4" s="1"/>
  <c r="G966" i="4" s="1"/>
  <c r="F965" i="4"/>
  <c r="D965" i="4"/>
  <c r="B965" i="4"/>
  <c r="C965" i="4" s="1"/>
  <c r="F964" i="4"/>
  <c r="D964" i="4"/>
  <c r="B964" i="4"/>
  <c r="C964" i="4" s="1"/>
  <c r="F963" i="4"/>
  <c r="D963" i="4"/>
  <c r="C963" i="4"/>
  <c r="E963" i="4" s="1"/>
  <c r="G963" i="4" s="1"/>
  <c r="B963" i="4"/>
  <c r="F962" i="4"/>
  <c r="E962" i="4"/>
  <c r="G962" i="4" s="1"/>
  <c r="D962" i="4"/>
  <c r="C962" i="4"/>
  <c r="B962" i="4"/>
  <c r="F961" i="4"/>
  <c r="D961" i="4"/>
  <c r="B961" i="4"/>
  <c r="C961" i="4" s="1"/>
  <c r="E961" i="4" s="1"/>
  <c r="G961" i="4" s="1"/>
  <c r="G960" i="4"/>
  <c r="F960" i="4"/>
  <c r="E960" i="4"/>
  <c r="D960" i="4"/>
  <c r="B960" i="4"/>
  <c r="C960" i="4" s="1"/>
  <c r="F959" i="4"/>
  <c r="D959" i="4"/>
  <c r="C959" i="4"/>
  <c r="E959" i="4" s="1"/>
  <c r="G959" i="4" s="1"/>
  <c r="B959" i="4"/>
  <c r="F958" i="4"/>
  <c r="E958" i="4"/>
  <c r="G958" i="4" s="1"/>
  <c r="H958" i="4" s="1"/>
  <c r="D958" i="4"/>
  <c r="B958" i="4"/>
  <c r="C958" i="4" s="1"/>
  <c r="F957" i="4"/>
  <c r="D957" i="4"/>
  <c r="B957" i="4"/>
  <c r="C957" i="4" s="1"/>
  <c r="E957" i="4" s="1"/>
  <c r="G957" i="4" s="1"/>
  <c r="F956" i="4"/>
  <c r="D956" i="4"/>
  <c r="C956" i="4"/>
  <c r="E956" i="4" s="1"/>
  <c r="G956" i="4" s="1"/>
  <c r="B956" i="4"/>
  <c r="F955" i="4"/>
  <c r="D955" i="4"/>
  <c r="B955" i="4"/>
  <c r="C955" i="4" s="1"/>
  <c r="I954" i="4"/>
  <c r="F954" i="4"/>
  <c r="D954" i="4"/>
  <c r="B954" i="4"/>
  <c r="C954" i="4" s="1"/>
  <c r="E954" i="4" s="1"/>
  <c r="G954" i="4" s="1"/>
  <c r="F953" i="4"/>
  <c r="D953" i="4"/>
  <c r="B953" i="4"/>
  <c r="C953" i="4" s="1"/>
  <c r="E953" i="4" s="1"/>
  <c r="G953" i="4" s="1"/>
  <c r="H953" i="4" s="1"/>
  <c r="F952" i="4"/>
  <c r="D952" i="4"/>
  <c r="B952" i="4"/>
  <c r="C952" i="4" s="1"/>
  <c r="E952" i="4" s="1"/>
  <c r="G952" i="4" s="1"/>
  <c r="F951" i="4"/>
  <c r="D951" i="4"/>
  <c r="B951" i="4"/>
  <c r="C951" i="4" s="1"/>
  <c r="E951" i="4" s="1"/>
  <c r="G951" i="4" s="1"/>
  <c r="F950" i="4"/>
  <c r="D950" i="4"/>
  <c r="B950" i="4"/>
  <c r="C950" i="4" s="1"/>
  <c r="E950" i="4" s="1"/>
  <c r="G950" i="4" s="1"/>
  <c r="F949" i="4"/>
  <c r="H949" i="4" s="1"/>
  <c r="D949" i="4"/>
  <c r="B949" i="4"/>
  <c r="C949" i="4" s="1"/>
  <c r="E949" i="4" s="1"/>
  <c r="G949" i="4" s="1"/>
  <c r="F948" i="4"/>
  <c r="D948" i="4"/>
  <c r="B948" i="4"/>
  <c r="C948" i="4" s="1"/>
  <c r="F947" i="4"/>
  <c r="I947" i="4" s="1"/>
  <c r="D947" i="4"/>
  <c r="C947" i="4"/>
  <c r="E947" i="4" s="1"/>
  <c r="G947" i="4" s="1"/>
  <c r="B947" i="4"/>
  <c r="F946" i="4"/>
  <c r="D946" i="4"/>
  <c r="C946" i="4"/>
  <c r="B946" i="4"/>
  <c r="F945" i="4"/>
  <c r="D945" i="4"/>
  <c r="B945" i="4"/>
  <c r="C945" i="4" s="1"/>
  <c r="E945" i="4" s="1"/>
  <c r="G945" i="4" s="1"/>
  <c r="H945" i="4" s="1"/>
  <c r="F944" i="4"/>
  <c r="D944" i="4"/>
  <c r="B944" i="4"/>
  <c r="C944" i="4" s="1"/>
  <c r="E944" i="4" s="1"/>
  <c r="G944" i="4" s="1"/>
  <c r="H943" i="4"/>
  <c r="F943" i="4"/>
  <c r="D943" i="4"/>
  <c r="C943" i="4"/>
  <c r="E943" i="4" s="1"/>
  <c r="G943" i="4" s="1"/>
  <c r="B943" i="4"/>
  <c r="F942" i="4"/>
  <c r="D942" i="4"/>
  <c r="B942" i="4"/>
  <c r="C942" i="4" s="1"/>
  <c r="E942" i="4" s="1"/>
  <c r="G942" i="4" s="1"/>
  <c r="F941" i="4"/>
  <c r="D941" i="4"/>
  <c r="B941" i="4"/>
  <c r="C941" i="4" s="1"/>
  <c r="F940" i="4"/>
  <c r="D940" i="4"/>
  <c r="B940" i="4"/>
  <c r="C940" i="4" s="1"/>
  <c r="E940" i="4" s="1"/>
  <c r="G940" i="4" s="1"/>
  <c r="F939" i="4"/>
  <c r="D939" i="4"/>
  <c r="B939" i="4"/>
  <c r="C939" i="4" s="1"/>
  <c r="E939" i="4" s="1"/>
  <c r="G939" i="4" s="1"/>
  <c r="F938" i="4"/>
  <c r="D938" i="4"/>
  <c r="E938" i="4" s="1"/>
  <c r="G938" i="4" s="1"/>
  <c r="B938" i="4"/>
  <c r="C938" i="4" s="1"/>
  <c r="F937" i="4"/>
  <c r="D937" i="4"/>
  <c r="B937" i="4"/>
  <c r="C937" i="4" s="1"/>
  <c r="E937" i="4" s="1"/>
  <c r="G937" i="4" s="1"/>
  <c r="F936" i="4"/>
  <c r="D936" i="4"/>
  <c r="B936" i="4"/>
  <c r="C936" i="4" s="1"/>
  <c r="E936" i="4" s="1"/>
  <c r="G936" i="4" s="1"/>
  <c r="I936" i="4" s="1"/>
  <c r="F935" i="4"/>
  <c r="I935" i="4" s="1"/>
  <c r="D935" i="4"/>
  <c r="B935" i="4"/>
  <c r="C935" i="4" s="1"/>
  <c r="E935" i="4" s="1"/>
  <c r="G935" i="4" s="1"/>
  <c r="F934" i="4"/>
  <c r="D934" i="4"/>
  <c r="B934" i="4"/>
  <c r="C934" i="4" s="1"/>
  <c r="E934" i="4" s="1"/>
  <c r="G934" i="4" s="1"/>
  <c r="F933" i="4"/>
  <c r="D933" i="4"/>
  <c r="B933" i="4"/>
  <c r="C933" i="4" s="1"/>
  <c r="F932" i="4"/>
  <c r="D932" i="4"/>
  <c r="B932" i="4"/>
  <c r="C932" i="4" s="1"/>
  <c r="E932" i="4" s="1"/>
  <c r="G932" i="4" s="1"/>
  <c r="F931" i="4"/>
  <c r="D931" i="4"/>
  <c r="C931" i="4"/>
  <c r="E931" i="4" s="1"/>
  <c r="G931" i="4" s="1"/>
  <c r="I931" i="4" s="1"/>
  <c r="B931" i="4"/>
  <c r="F930" i="4"/>
  <c r="D930" i="4"/>
  <c r="B930" i="4"/>
  <c r="C930" i="4" s="1"/>
  <c r="E930" i="4" s="1"/>
  <c r="G930" i="4" s="1"/>
  <c r="F929" i="4"/>
  <c r="D929" i="4"/>
  <c r="C929" i="4"/>
  <c r="B929" i="4"/>
  <c r="G928" i="4"/>
  <c r="F928" i="4"/>
  <c r="D928" i="4"/>
  <c r="C928" i="4"/>
  <c r="E928" i="4" s="1"/>
  <c r="B928" i="4"/>
  <c r="F927" i="4"/>
  <c r="E927" i="4"/>
  <c r="G927" i="4" s="1"/>
  <c r="D927" i="4"/>
  <c r="C927" i="4"/>
  <c r="B927" i="4"/>
  <c r="F926" i="4"/>
  <c r="D926" i="4"/>
  <c r="B926" i="4"/>
  <c r="C926" i="4" s="1"/>
  <c r="E926" i="4" s="1"/>
  <c r="G926" i="4" s="1"/>
  <c r="F925" i="4"/>
  <c r="D925" i="4"/>
  <c r="B925" i="4"/>
  <c r="C925" i="4" s="1"/>
  <c r="F924" i="4"/>
  <c r="D924" i="4"/>
  <c r="B924" i="4"/>
  <c r="C924" i="4" s="1"/>
  <c r="E924" i="4" s="1"/>
  <c r="G924" i="4" s="1"/>
  <c r="F923" i="4"/>
  <c r="D923" i="4"/>
  <c r="C923" i="4"/>
  <c r="B923" i="4"/>
  <c r="F922" i="4"/>
  <c r="D922" i="4"/>
  <c r="B922" i="4"/>
  <c r="C922" i="4" s="1"/>
  <c r="F921" i="4"/>
  <c r="D921" i="4"/>
  <c r="C921" i="4"/>
  <c r="B921" i="4"/>
  <c r="F920" i="4"/>
  <c r="D920" i="4"/>
  <c r="B920" i="4"/>
  <c r="C920" i="4" s="1"/>
  <c r="E920" i="4" s="1"/>
  <c r="G920" i="4" s="1"/>
  <c r="F919" i="4"/>
  <c r="D919" i="4"/>
  <c r="B919" i="4"/>
  <c r="C919" i="4" s="1"/>
  <c r="E919" i="4" s="1"/>
  <c r="G919" i="4" s="1"/>
  <c r="H919" i="4" s="1"/>
  <c r="F918" i="4"/>
  <c r="D918" i="4"/>
  <c r="B918" i="4"/>
  <c r="C918" i="4" s="1"/>
  <c r="E918" i="4" s="1"/>
  <c r="G918" i="4" s="1"/>
  <c r="F917" i="4"/>
  <c r="D917" i="4"/>
  <c r="B917" i="4"/>
  <c r="C917" i="4" s="1"/>
  <c r="E917" i="4" s="1"/>
  <c r="G917" i="4" s="1"/>
  <c r="I917" i="4" s="1"/>
  <c r="G916" i="4"/>
  <c r="F916" i="4"/>
  <c r="D916" i="4"/>
  <c r="B916" i="4"/>
  <c r="C916" i="4" s="1"/>
  <c r="E916" i="4" s="1"/>
  <c r="F915" i="4"/>
  <c r="E915" i="4"/>
  <c r="G915" i="4" s="1"/>
  <c r="D915" i="4"/>
  <c r="B915" i="4"/>
  <c r="C915" i="4" s="1"/>
  <c r="F914" i="4"/>
  <c r="D914" i="4"/>
  <c r="B914" i="4"/>
  <c r="C914" i="4" s="1"/>
  <c r="F913" i="4"/>
  <c r="D913" i="4"/>
  <c r="C913" i="4"/>
  <c r="B913" i="4"/>
  <c r="F912" i="4"/>
  <c r="D912" i="4"/>
  <c r="B912" i="4"/>
  <c r="C912" i="4" s="1"/>
  <c r="F911" i="4"/>
  <c r="D911" i="4"/>
  <c r="C911" i="4"/>
  <c r="E911" i="4" s="1"/>
  <c r="G911" i="4" s="1"/>
  <c r="B911" i="4"/>
  <c r="F910" i="4"/>
  <c r="D910" i="4"/>
  <c r="B910" i="4"/>
  <c r="C910" i="4" s="1"/>
  <c r="E910" i="4" s="1"/>
  <c r="G910" i="4" s="1"/>
  <c r="F909" i="4"/>
  <c r="D909" i="4"/>
  <c r="B909" i="4"/>
  <c r="C909" i="4" s="1"/>
  <c r="E909" i="4" s="1"/>
  <c r="G909" i="4" s="1"/>
  <c r="H909" i="4" s="1"/>
  <c r="F908" i="4"/>
  <c r="D908" i="4"/>
  <c r="B908" i="4"/>
  <c r="C908" i="4" s="1"/>
  <c r="F907" i="4"/>
  <c r="D907" i="4"/>
  <c r="B907" i="4"/>
  <c r="C907" i="4" s="1"/>
  <c r="F906" i="4"/>
  <c r="D906" i="4"/>
  <c r="B906" i="4"/>
  <c r="C906" i="4" s="1"/>
  <c r="E906" i="4" s="1"/>
  <c r="G906" i="4" s="1"/>
  <c r="H906" i="4" s="1"/>
  <c r="I905" i="4"/>
  <c r="G905" i="4"/>
  <c r="F905" i="4"/>
  <c r="E905" i="4"/>
  <c r="D905" i="4"/>
  <c r="B905" i="4"/>
  <c r="C905" i="4" s="1"/>
  <c r="F904" i="4"/>
  <c r="D904" i="4"/>
  <c r="B904" i="4"/>
  <c r="C904" i="4" s="1"/>
  <c r="E904" i="4" s="1"/>
  <c r="G904" i="4" s="1"/>
  <c r="F903" i="4"/>
  <c r="E903" i="4"/>
  <c r="G903" i="4" s="1"/>
  <c r="D903" i="4"/>
  <c r="B903" i="4"/>
  <c r="C903" i="4" s="1"/>
  <c r="F902" i="4"/>
  <c r="D902" i="4"/>
  <c r="B902" i="4"/>
  <c r="C902" i="4" s="1"/>
  <c r="F901" i="4"/>
  <c r="D901" i="4"/>
  <c r="B901" i="4"/>
  <c r="C901" i="4" s="1"/>
  <c r="E901" i="4" s="1"/>
  <c r="G901" i="4" s="1"/>
  <c r="G900" i="4"/>
  <c r="F900" i="4"/>
  <c r="D900" i="4"/>
  <c r="B900" i="4"/>
  <c r="C900" i="4" s="1"/>
  <c r="E900" i="4" s="1"/>
  <c r="F899" i="4"/>
  <c r="D899" i="4"/>
  <c r="B899" i="4"/>
  <c r="C899" i="4" s="1"/>
  <c r="F898" i="4"/>
  <c r="D898" i="4"/>
  <c r="B898" i="4"/>
  <c r="C898" i="4" s="1"/>
  <c r="E898" i="4" s="1"/>
  <c r="G898" i="4" s="1"/>
  <c r="F897" i="4"/>
  <c r="I897" i="4" s="1"/>
  <c r="D897" i="4"/>
  <c r="C897" i="4"/>
  <c r="E897" i="4" s="1"/>
  <c r="G897" i="4" s="1"/>
  <c r="H897" i="4" s="1"/>
  <c r="B897" i="4"/>
  <c r="F896" i="4"/>
  <c r="D896" i="4"/>
  <c r="C896" i="4"/>
  <c r="E896" i="4" s="1"/>
  <c r="G896" i="4" s="1"/>
  <c r="B896" i="4"/>
  <c r="F895" i="4"/>
  <c r="D895" i="4"/>
  <c r="C895" i="4"/>
  <c r="E895" i="4" s="1"/>
  <c r="G895" i="4" s="1"/>
  <c r="B895" i="4"/>
  <c r="F894" i="4"/>
  <c r="D894" i="4"/>
  <c r="C894" i="4"/>
  <c r="B894" i="4"/>
  <c r="F893" i="4"/>
  <c r="D893" i="4"/>
  <c r="B893" i="4"/>
  <c r="C893" i="4" s="1"/>
  <c r="E893" i="4" s="1"/>
  <c r="G893" i="4" s="1"/>
  <c r="F892" i="4"/>
  <c r="D892" i="4"/>
  <c r="C892" i="4"/>
  <c r="E892" i="4" s="1"/>
  <c r="G892" i="4" s="1"/>
  <c r="B892" i="4"/>
  <c r="F891" i="4"/>
  <c r="D891" i="4"/>
  <c r="B891" i="4"/>
  <c r="C891" i="4" s="1"/>
  <c r="E891" i="4" s="1"/>
  <c r="G891" i="4" s="1"/>
  <c r="F890" i="4"/>
  <c r="E890" i="4"/>
  <c r="G890" i="4" s="1"/>
  <c r="D890" i="4"/>
  <c r="C890" i="4"/>
  <c r="B890" i="4"/>
  <c r="F889" i="4"/>
  <c r="D889" i="4"/>
  <c r="C889" i="4"/>
  <c r="E889" i="4" s="1"/>
  <c r="G889" i="4" s="1"/>
  <c r="H889" i="4" s="1"/>
  <c r="B889" i="4"/>
  <c r="F888" i="4"/>
  <c r="D888" i="4"/>
  <c r="B888" i="4"/>
  <c r="C888" i="4" s="1"/>
  <c r="E888" i="4" s="1"/>
  <c r="G888" i="4" s="1"/>
  <c r="I888" i="4" s="1"/>
  <c r="F887" i="4"/>
  <c r="E887" i="4"/>
  <c r="G887" i="4" s="1"/>
  <c r="D887" i="4"/>
  <c r="B887" i="4"/>
  <c r="C887" i="4" s="1"/>
  <c r="F886" i="4"/>
  <c r="D886" i="4"/>
  <c r="B886" i="4"/>
  <c r="C886" i="4" s="1"/>
  <c r="F885" i="4"/>
  <c r="E885" i="4"/>
  <c r="G885" i="4" s="1"/>
  <c r="H885" i="4" s="1"/>
  <c r="D885" i="4"/>
  <c r="C885" i="4"/>
  <c r="B885" i="4"/>
  <c r="F884" i="4"/>
  <c r="D884" i="4"/>
  <c r="C884" i="4"/>
  <c r="E884" i="4" s="1"/>
  <c r="G884" i="4" s="1"/>
  <c r="I884" i="4" s="1"/>
  <c r="B884" i="4"/>
  <c r="F883" i="4"/>
  <c r="E883" i="4"/>
  <c r="G883" i="4" s="1"/>
  <c r="D883" i="4"/>
  <c r="B883" i="4"/>
  <c r="C883" i="4" s="1"/>
  <c r="F882" i="4"/>
  <c r="D882" i="4"/>
  <c r="B882" i="4"/>
  <c r="C882" i="4" s="1"/>
  <c r="E882" i="4" s="1"/>
  <c r="G882" i="4" s="1"/>
  <c r="H881" i="4"/>
  <c r="F881" i="4"/>
  <c r="D881" i="4"/>
  <c r="B881" i="4"/>
  <c r="C881" i="4" s="1"/>
  <c r="E881" i="4" s="1"/>
  <c r="G881" i="4" s="1"/>
  <c r="I881" i="4" s="1"/>
  <c r="F880" i="4"/>
  <c r="D880" i="4"/>
  <c r="B880" i="4"/>
  <c r="C880" i="4" s="1"/>
  <c r="E880" i="4" s="1"/>
  <c r="G880" i="4" s="1"/>
  <c r="I880" i="4" s="1"/>
  <c r="F879" i="4"/>
  <c r="D879" i="4"/>
  <c r="B879" i="4"/>
  <c r="C879" i="4" s="1"/>
  <c r="E879" i="4" s="1"/>
  <c r="G879" i="4" s="1"/>
  <c r="F878" i="4"/>
  <c r="D878" i="4"/>
  <c r="C878" i="4"/>
  <c r="E878" i="4" s="1"/>
  <c r="G878" i="4" s="1"/>
  <c r="I878" i="4" s="1"/>
  <c r="B878" i="4"/>
  <c r="F877" i="4"/>
  <c r="D877" i="4"/>
  <c r="B877" i="4"/>
  <c r="C877" i="4" s="1"/>
  <c r="E877" i="4" s="1"/>
  <c r="G877" i="4" s="1"/>
  <c r="F876" i="4"/>
  <c r="E876" i="4"/>
  <c r="G876" i="4" s="1"/>
  <c r="D876" i="4"/>
  <c r="C876" i="4"/>
  <c r="B876" i="4"/>
  <c r="F875" i="4"/>
  <c r="H875" i="4" s="1"/>
  <c r="D875" i="4"/>
  <c r="C875" i="4"/>
  <c r="E875" i="4" s="1"/>
  <c r="G875" i="4" s="1"/>
  <c r="B875" i="4"/>
  <c r="F874" i="4"/>
  <c r="D874" i="4"/>
  <c r="C874" i="4"/>
  <c r="B874" i="4"/>
  <c r="F873" i="4"/>
  <c r="E873" i="4"/>
  <c r="G873" i="4" s="1"/>
  <c r="I873" i="4" s="1"/>
  <c r="D873" i="4"/>
  <c r="C873" i="4"/>
  <c r="B873" i="4"/>
  <c r="F872" i="4"/>
  <c r="D872" i="4"/>
  <c r="B872" i="4"/>
  <c r="C872" i="4" s="1"/>
  <c r="E872" i="4" s="1"/>
  <c r="G872" i="4" s="1"/>
  <c r="F871" i="4"/>
  <c r="D871" i="4"/>
  <c r="B871" i="4"/>
  <c r="C871" i="4" s="1"/>
  <c r="E871" i="4" s="1"/>
  <c r="G871" i="4" s="1"/>
  <c r="F870" i="4"/>
  <c r="E870" i="4"/>
  <c r="G870" i="4" s="1"/>
  <c r="H870" i="4" s="1"/>
  <c r="D870" i="4"/>
  <c r="C870" i="4"/>
  <c r="B870" i="4"/>
  <c r="F869" i="4"/>
  <c r="E869" i="4"/>
  <c r="G869" i="4" s="1"/>
  <c r="I869" i="4" s="1"/>
  <c r="D869" i="4"/>
  <c r="C869" i="4"/>
  <c r="B869" i="4"/>
  <c r="F868" i="4"/>
  <c r="D868" i="4"/>
  <c r="B868" i="4"/>
  <c r="C868" i="4" s="1"/>
  <c r="E868" i="4" s="1"/>
  <c r="G868" i="4" s="1"/>
  <c r="F867" i="4"/>
  <c r="D867" i="4"/>
  <c r="B867" i="4"/>
  <c r="C867" i="4" s="1"/>
  <c r="E867" i="4" s="1"/>
  <c r="G867" i="4" s="1"/>
  <c r="F866" i="4"/>
  <c r="E866" i="4"/>
  <c r="G866" i="4" s="1"/>
  <c r="D866" i="4"/>
  <c r="B866" i="4"/>
  <c r="C866" i="4" s="1"/>
  <c r="F865" i="4"/>
  <c r="D865" i="4"/>
  <c r="B865" i="4"/>
  <c r="C865" i="4" s="1"/>
  <c r="E865" i="4" s="1"/>
  <c r="G865" i="4" s="1"/>
  <c r="F864" i="4"/>
  <c r="D864" i="4"/>
  <c r="C864" i="4"/>
  <c r="E864" i="4" s="1"/>
  <c r="G864" i="4" s="1"/>
  <c r="B864" i="4"/>
  <c r="F863" i="4"/>
  <c r="D863" i="4"/>
  <c r="C863" i="4"/>
  <c r="E863" i="4" s="1"/>
  <c r="G863" i="4" s="1"/>
  <c r="B863" i="4"/>
  <c r="F862" i="4"/>
  <c r="D862" i="4"/>
  <c r="B862" i="4"/>
  <c r="C862" i="4" s="1"/>
  <c r="E862" i="4" s="1"/>
  <c r="G862" i="4" s="1"/>
  <c r="F861" i="4"/>
  <c r="D861" i="4"/>
  <c r="B861" i="4"/>
  <c r="C861" i="4" s="1"/>
  <c r="E861" i="4" s="1"/>
  <c r="G861" i="4" s="1"/>
  <c r="F860" i="4"/>
  <c r="D860" i="4"/>
  <c r="C860" i="4"/>
  <c r="E860" i="4" s="1"/>
  <c r="G860" i="4" s="1"/>
  <c r="B860" i="4"/>
  <c r="F859" i="4"/>
  <c r="D859" i="4"/>
  <c r="C859" i="4"/>
  <c r="B859" i="4"/>
  <c r="F858" i="4"/>
  <c r="I858" i="4" s="1"/>
  <c r="D858" i="4"/>
  <c r="B858" i="4"/>
  <c r="C858" i="4" s="1"/>
  <c r="E858" i="4" s="1"/>
  <c r="G858" i="4" s="1"/>
  <c r="F857" i="4"/>
  <c r="D857" i="4"/>
  <c r="B857" i="4"/>
  <c r="C857" i="4" s="1"/>
  <c r="E857" i="4" s="1"/>
  <c r="G857" i="4" s="1"/>
  <c r="F856" i="4"/>
  <c r="D856" i="4"/>
  <c r="B856" i="4"/>
  <c r="C856" i="4" s="1"/>
  <c r="E856" i="4" s="1"/>
  <c r="G856" i="4" s="1"/>
  <c r="F855" i="4"/>
  <c r="D855" i="4"/>
  <c r="B855" i="4"/>
  <c r="C855" i="4" s="1"/>
  <c r="E855" i="4" s="1"/>
  <c r="G855" i="4" s="1"/>
  <c r="F854" i="4"/>
  <c r="D854" i="4"/>
  <c r="B854" i="4"/>
  <c r="C854" i="4" s="1"/>
  <c r="E854" i="4" s="1"/>
  <c r="G854" i="4" s="1"/>
  <c r="F853" i="4"/>
  <c r="D853" i="4"/>
  <c r="B853" i="4"/>
  <c r="C853" i="4" s="1"/>
  <c r="E853" i="4" s="1"/>
  <c r="G853" i="4" s="1"/>
  <c r="F852" i="4"/>
  <c r="D852" i="4"/>
  <c r="C852" i="4"/>
  <c r="E852" i="4" s="1"/>
  <c r="G852" i="4" s="1"/>
  <c r="B852" i="4"/>
  <c r="I851" i="4"/>
  <c r="F851" i="4"/>
  <c r="D851" i="4"/>
  <c r="B851" i="4"/>
  <c r="C851" i="4" s="1"/>
  <c r="E851" i="4" s="1"/>
  <c r="G851" i="4" s="1"/>
  <c r="F850" i="4"/>
  <c r="D850" i="4"/>
  <c r="C850" i="4"/>
  <c r="B850" i="4"/>
  <c r="G849" i="4"/>
  <c r="F849" i="4"/>
  <c r="D849" i="4"/>
  <c r="E849" i="4" s="1"/>
  <c r="C849" i="4"/>
  <c r="B849" i="4"/>
  <c r="F848" i="4"/>
  <c r="D848" i="4"/>
  <c r="C848" i="4"/>
  <c r="B848" i="4"/>
  <c r="F847" i="4"/>
  <c r="D847" i="4"/>
  <c r="B847" i="4"/>
  <c r="C847" i="4" s="1"/>
  <c r="F846" i="4"/>
  <c r="D846" i="4"/>
  <c r="B846" i="4"/>
  <c r="C846" i="4" s="1"/>
  <c r="E846" i="4" s="1"/>
  <c r="G846" i="4" s="1"/>
  <c r="F845" i="4"/>
  <c r="D845" i="4"/>
  <c r="B845" i="4"/>
  <c r="C845" i="4" s="1"/>
  <c r="E845" i="4" s="1"/>
  <c r="G845" i="4" s="1"/>
  <c r="H845" i="4" s="1"/>
  <c r="F844" i="4"/>
  <c r="D844" i="4"/>
  <c r="C844" i="4"/>
  <c r="E844" i="4" s="1"/>
  <c r="G844" i="4" s="1"/>
  <c r="B844" i="4"/>
  <c r="F843" i="4"/>
  <c r="D843" i="4"/>
  <c r="B843" i="4"/>
  <c r="C843" i="4" s="1"/>
  <c r="E843" i="4" s="1"/>
  <c r="G843" i="4" s="1"/>
  <c r="F842" i="4"/>
  <c r="D842" i="4"/>
  <c r="B842" i="4"/>
  <c r="C842" i="4" s="1"/>
  <c r="E842" i="4" s="1"/>
  <c r="G842" i="4" s="1"/>
  <c r="F841" i="4"/>
  <c r="D841" i="4"/>
  <c r="B841" i="4"/>
  <c r="C841" i="4" s="1"/>
  <c r="F840" i="4"/>
  <c r="D840" i="4"/>
  <c r="B840" i="4"/>
  <c r="C840" i="4" s="1"/>
  <c r="E840" i="4" s="1"/>
  <c r="G840" i="4" s="1"/>
  <c r="F839" i="4"/>
  <c r="D839" i="4"/>
  <c r="C839" i="4"/>
  <c r="E839" i="4" s="1"/>
  <c r="G839" i="4" s="1"/>
  <c r="B839" i="4"/>
  <c r="F838" i="4"/>
  <c r="D838" i="4"/>
  <c r="B838" i="4"/>
  <c r="C838" i="4" s="1"/>
  <c r="F837" i="4"/>
  <c r="D837" i="4"/>
  <c r="B837" i="4"/>
  <c r="C837" i="4" s="1"/>
  <c r="E837" i="4" s="1"/>
  <c r="G837" i="4" s="1"/>
  <c r="F836" i="4"/>
  <c r="D836" i="4"/>
  <c r="C836" i="4"/>
  <c r="E836" i="4" s="1"/>
  <c r="G836" i="4" s="1"/>
  <c r="B836" i="4"/>
  <c r="F835" i="4"/>
  <c r="D835" i="4"/>
  <c r="B835" i="4"/>
  <c r="C835" i="4" s="1"/>
  <c r="E835" i="4" s="1"/>
  <c r="G835" i="4" s="1"/>
  <c r="H835" i="4" s="1"/>
  <c r="F834" i="4"/>
  <c r="D834" i="4"/>
  <c r="B834" i="4"/>
  <c r="C834" i="4" s="1"/>
  <c r="G833" i="4"/>
  <c r="I833" i="4" s="1"/>
  <c r="F833" i="4"/>
  <c r="D833" i="4"/>
  <c r="B833" i="4"/>
  <c r="C833" i="4" s="1"/>
  <c r="E833" i="4" s="1"/>
  <c r="F832" i="4"/>
  <c r="D832" i="4"/>
  <c r="B832" i="4"/>
  <c r="C832" i="4" s="1"/>
  <c r="E832" i="4" s="1"/>
  <c r="G832" i="4" s="1"/>
  <c r="F831" i="4"/>
  <c r="D831" i="4"/>
  <c r="C831" i="4"/>
  <c r="E831" i="4" s="1"/>
  <c r="G831" i="4" s="1"/>
  <c r="B831" i="4"/>
  <c r="F830" i="4"/>
  <c r="D830" i="4"/>
  <c r="B830" i="4"/>
  <c r="C830" i="4" s="1"/>
  <c r="E830" i="4" s="1"/>
  <c r="G830" i="4" s="1"/>
  <c r="F829" i="4"/>
  <c r="D829" i="4"/>
  <c r="B829" i="4"/>
  <c r="C829" i="4" s="1"/>
  <c r="E829" i="4" s="1"/>
  <c r="G829" i="4" s="1"/>
  <c r="F828" i="4"/>
  <c r="D828" i="4"/>
  <c r="B828" i="4"/>
  <c r="C828" i="4" s="1"/>
  <c r="E828" i="4" s="1"/>
  <c r="G828" i="4" s="1"/>
  <c r="F827" i="4"/>
  <c r="D827" i="4"/>
  <c r="E827" i="4" s="1"/>
  <c r="G827" i="4" s="1"/>
  <c r="B827" i="4"/>
  <c r="C827" i="4" s="1"/>
  <c r="F826" i="4"/>
  <c r="D826" i="4"/>
  <c r="B826" i="4"/>
  <c r="C826" i="4" s="1"/>
  <c r="E826" i="4" s="1"/>
  <c r="G826" i="4" s="1"/>
  <c r="F825" i="4"/>
  <c r="D825" i="4"/>
  <c r="B825" i="4"/>
  <c r="C825" i="4" s="1"/>
  <c r="E825" i="4" s="1"/>
  <c r="G825" i="4" s="1"/>
  <c r="H824" i="4"/>
  <c r="F824" i="4"/>
  <c r="D824" i="4"/>
  <c r="B824" i="4"/>
  <c r="C824" i="4" s="1"/>
  <c r="E824" i="4" s="1"/>
  <c r="G824" i="4" s="1"/>
  <c r="F823" i="4"/>
  <c r="D823" i="4"/>
  <c r="B823" i="4"/>
  <c r="C823" i="4" s="1"/>
  <c r="E823" i="4" s="1"/>
  <c r="G823" i="4" s="1"/>
  <c r="F822" i="4"/>
  <c r="D822" i="4"/>
  <c r="B822" i="4"/>
  <c r="C822" i="4" s="1"/>
  <c r="E822" i="4" s="1"/>
  <c r="G822" i="4" s="1"/>
  <c r="F821" i="4"/>
  <c r="D821" i="4"/>
  <c r="C821" i="4"/>
  <c r="E821" i="4" s="1"/>
  <c r="G821" i="4" s="1"/>
  <c r="I821" i="4" s="1"/>
  <c r="B821" i="4"/>
  <c r="F820" i="4"/>
  <c r="D820" i="4"/>
  <c r="B820" i="4"/>
  <c r="C820" i="4" s="1"/>
  <c r="E820" i="4" s="1"/>
  <c r="G820" i="4" s="1"/>
  <c r="F819" i="4"/>
  <c r="D819" i="4"/>
  <c r="B819" i="4"/>
  <c r="C819" i="4" s="1"/>
  <c r="E819" i="4" s="1"/>
  <c r="G819" i="4" s="1"/>
  <c r="H819" i="4" s="1"/>
  <c r="F818" i="4"/>
  <c r="D818" i="4"/>
  <c r="B818" i="4"/>
  <c r="C818" i="4" s="1"/>
  <c r="E818" i="4" s="1"/>
  <c r="G818" i="4" s="1"/>
  <c r="G817" i="4"/>
  <c r="F817" i="4"/>
  <c r="D817" i="4"/>
  <c r="B817" i="4"/>
  <c r="C817" i="4" s="1"/>
  <c r="E817" i="4" s="1"/>
  <c r="F816" i="4"/>
  <c r="D816" i="4"/>
  <c r="B816" i="4"/>
  <c r="C816" i="4" s="1"/>
  <c r="E816" i="4" s="1"/>
  <c r="G816" i="4" s="1"/>
  <c r="I816" i="4" s="1"/>
  <c r="F815" i="4"/>
  <c r="D815" i="4"/>
  <c r="B815" i="4"/>
  <c r="C815" i="4" s="1"/>
  <c r="E815" i="4" s="1"/>
  <c r="G815" i="4" s="1"/>
  <c r="F814" i="4"/>
  <c r="D814" i="4"/>
  <c r="B814" i="4"/>
  <c r="C814" i="4" s="1"/>
  <c r="E814" i="4" s="1"/>
  <c r="G814" i="4" s="1"/>
  <c r="F813" i="4"/>
  <c r="D813" i="4"/>
  <c r="C813" i="4"/>
  <c r="E813" i="4" s="1"/>
  <c r="G813" i="4" s="1"/>
  <c r="B813" i="4"/>
  <c r="I812" i="4"/>
  <c r="F812" i="4"/>
  <c r="D812" i="4"/>
  <c r="B812" i="4"/>
  <c r="C812" i="4" s="1"/>
  <c r="E812" i="4" s="1"/>
  <c r="G812" i="4" s="1"/>
  <c r="F811" i="4"/>
  <c r="D811" i="4"/>
  <c r="B811" i="4"/>
  <c r="C811" i="4" s="1"/>
  <c r="E811" i="4" s="1"/>
  <c r="G811" i="4" s="1"/>
  <c r="F810" i="4"/>
  <c r="E810" i="4"/>
  <c r="G810" i="4" s="1"/>
  <c r="D810" i="4"/>
  <c r="C810" i="4"/>
  <c r="B810" i="4"/>
  <c r="F809" i="4"/>
  <c r="D809" i="4"/>
  <c r="B809" i="4"/>
  <c r="C809" i="4" s="1"/>
  <c r="E809" i="4" s="1"/>
  <c r="G809" i="4" s="1"/>
  <c r="H809" i="4" s="1"/>
  <c r="F808" i="4"/>
  <c r="D808" i="4"/>
  <c r="B808" i="4"/>
  <c r="C808" i="4" s="1"/>
  <c r="E808" i="4" s="1"/>
  <c r="G808" i="4" s="1"/>
  <c r="I808" i="4" s="1"/>
  <c r="F807" i="4"/>
  <c r="D807" i="4"/>
  <c r="B807" i="4"/>
  <c r="C807" i="4" s="1"/>
  <c r="E807" i="4" s="1"/>
  <c r="G807" i="4" s="1"/>
  <c r="F806" i="4"/>
  <c r="D806" i="4"/>
  <c r="C806" i="4"/>
  <c r="E806" i="4" s="1"/>
  <c r="G806" i="4" s="1"/>
  <c r="B806" i="4"/>
  <c r="F805" i="4"/>
  <c r="D805" i="4"/>
  <c r="B805" i="4"/>
  <c r="C805" i="4" s="1"/>
  <c r="E805" i="4" s="1"/>
  <c r="G805" i="4" s="1"/>
  <c r="F804" i="4"/>
  <c r="D804" i="4"/>
  <c r="B804" i="4"/>
  <c r="C804" i="4" s="1"/>
  <c r="E804" i="4" s="1"/>
  <c r="G804" i="4" s="1"/>
  <c r="I804" i="4" s="1"/>
  <c r="F803" i="4"/>
  <c r="D803" i="4"/>
  <c r="C803" i="4"/>
  <c r="B803" i="4"/>
  <c r="F802" i="4"/>
  <c r="D802" i="4"/>
  <c r="B802" i="4"/>
  <c r="C802" i="4" s="1"/>
  <c r="E802" i="4" s="1"/>
  <c r="G802" i="4" s="1"/>
  <c r="F801" i="4"/>
  <c r="D801" i="4"/>
  <c r="C801" i="4"/>
  <c r="E801" i="4" s="1"/>
  <c r="G801" i="4" s="1"/>
  <c r="B801" i="4"/>
  <c r="F800" i="4"/>
  <c r="D800" i="4"/>
  <c r="B800" i="4"/>
  <c r="C800" i="4" s="1"/>
  <c r="E800" i="4" s="1"/>
  <c r="G800" i="4" s="1"/>
  <c r="H800" i="4" s="1"/>
  <c r="I799" i="4"/>
  <c r="H799" i="4"/>
  <c r="F799" i="4"/>
  <c r="D799" i="4"/>
  <c r="B799" i="4"/>
  <c r="C799" i="4" s="1"/>
  <c r="E799" i="4" s="1"/>
  <c r="G799" i="4" s="1"/>
  <c r="F798" i="4"/>
  <c r="D798" i="4"/>
  <c r="B798" i="4"/>
  <c r="C798" i="4" s="1"/>
  <c r="F797" i="4"/>
  <c r="D797" i="4"/>
  <c r="B797" i="4"/>
  <c r="C797" i="4" s="1"/>
  <c r="F796" i="4"/>
  <c r="E796" i="4"/>
  <c r="G796" i="4" s="1"/>
  <c r="D796" i="4"/>
  <c r="B796" i="4"/>
  <c r="C796" i="4" s="1"/>
  <c r="F795" i="4"/>
  <c r="D795" i="4"/>
  <c r="B795" i="4"/>
  <c r="C795" i="4" s="1"/>
  <c r="E795" i="4" s="1"/>
  <c r="G795" i="4" s="1"/>
  <c r="I795" i="4" s="1"/>
  <c r="F794" i="4"/>
  <c r="E794" i="4"/>
  <c r="G794" i="4" s="1"/>
  <c r="H794" i="4" s="1"/>
  <c r="D794" i="4"/>
  <c r="B794" i="4"/>
  <c r="C794" i="4" s="1"/>
  <c r="F793" i="4"/>
  <c r="D793" i="4"/>
  <c r="B793" i="4"/>
  <c r="C793" i="4" s="1"/>
  <c r="F792" i="4"/>
  <c r="D792" i="4"/>
  <c r="B792" i="4"/>
  <c r="C792" i="4" s="1"/>
  <c r="E792" i="4" s="1"/>
  <c r="G792" i="4" s="1"/>
  <c r="G791" i="4"/>
  <c r="F791" i="4"/>
  <c r="I791" i="4" s="1"/>
  <c r="D791" i="4"/>
  <c r="C791" i="4"/>
  <c r="E791" i="4" s="1"/>
  <c r="B791" i="4"/>
  <c r="F790" i="4"/>
  <c r="D790" i="4"/>
  <c r="B790" i="4"/>
  <c r="C790" i="4" s="1"/>
  <c r="E790" i="4" s="1"/>
  <c r="G790" i="4" s="1"/>
  <c r="F789" i="4"/>
  <c r="D789" i="4"/>
  <c r="B789" i="4"/>
  <c r="C789" i="4" s="1"/>
  <c r="E789" i="4" s="1"/>
  <c r="G789" i="4" s="1"/>
  <c r="G788" i="4"/>
  <c r="F788" i="4"/>
  <c r="D788" i="4"/>
  <c r="C788" i="4"/>
  <c r="E788" i="4" s="1"/>
  <c r="B788" i="4"/>
  <c r="F787" i="4"/>
  <c r="D787" i="4"/>
  <c r="B787" i="4"/>
  <c r="C787" i="4" s="1"/>
  <c r="E787" i="4" s="1"/>
  <c r="G787" i="4" s="1"/>
  <c r="F786" i="4"/>
  <c r="D786" i="4"/>
  <c r="B786" i="4"/>
  <c r="C786" i="4" s="1"/>
  <c r="E786" i="4" s="1"/>
  <c r="G786" i="4" s="1"/>
  <c r="F785" i="4"/>
  <c r="D785" i="4"/>
  <c r="C785" i="4"/>
  <c r="E785" i="4" s="1"/>
  <c r="G785" i="4" s="1"/>
  <c r="H785" i="4" s="1"/>
  <c r="B785" i="4"/>
  <c r="F784" i="4"/>
  <c r="D784" i="4"/>
  <c r="C784" i="4"/>
  <c r="E784" i="4" s="1"/>
  <c r="G784" i="4" s="1"/>
  <c r="B784" i="4"/>
  <c r="G783" i="4"/>
  <c r="I783" i="4" s="1"/>
  <c r="F783" i="4"/>
  <c r="D783" i="4"/>
  <c r="C783" i="4"/>
  <c r="E783" i="4" s="1"/>
  <c r="B783" i="4"/>
  <c r="F782" i="4"/>
  <c r="D782" i="4"/>
  <c r="B782" i="4"/>
  <c r="C782" i="4" s="1"/>
  <c r="E782" i="4" s="1"/>
  <c r="G782" i="4" s="1"/>
  <c r="F781" i="4"/>
  <c r="D781" i="4"/>
  <c r="B781" i="4"/>
  <c r="C781" i="4" s="1"/>
  <c r="E781" i="4" s="1"/>
  <c r="G781" i="4" s="1"/>
  <c r="F780" i="4"/>
  <c r="D780" i="4"/>
  <c r="C780" i="4"/>
  <c r="B780" i="4"/>
  <c r="F779" i="4"/>
  <c r="D779" i="4"/>
  <c r="B779" i="4"/>
  <c r="C779" i="4" s="1"/>
  <c r="F778" i="4"/>
  <c r="D778" i="4"/>
  <c r="B778" i="4"/>
  <c r="C778" i="4" s="1"/>
  <c r="F777" i="4"/>
  <c r="D777" i="4"/>
  <c r="B777" i="4"/>
  <c r="C777" i="4" s="1"/>
  <c r="E777" i="4" s="1"/>
  <c r="G777" i="4" s="1"/>
  <c r="F776" i="4"/>
  <c r="D776" i="4"/>
  <c r="B776" i="4"/>
  <c r="C776" i="4" s="1"/>
  <c r="E776" i="4" s="1"/>
  <c r="G776" i="4" s="1"/>
  <c r="H776" i="4" s="1"/>
  <c r="I775" i="4"/>
  <c r="F775" i="4"/>
  <c r="H775" i="4" s="1"/>
  <c r="D775" i="4"/>
  <c r="B775" i="4"/>
  <c r="C775" i="4" s="1"/>
  <c r="E775" i="4" s="1"/>
  <c r="G775" i="4" s="1"/>
  <c r="F774" i="4"/>
  <c r="D774" i="4"/>
  <c r="C774" i="4"/>
  <c r="E774" i="4" s="1"/>
  <c r="G774" i="4" s="1"/>
  <c r="B774" i="4"/>
  <c r="F773" i="4"/>
  <c r="D773" i="4"/>
  <c r="C773" i="4"/>
  <c r="E773" i="4" s="1"/>
  <c r="G773" i="4" s="1"/>
  <c r="B773" i="4"/>
  <c r="F772" i="4"/>
  <c r="D772" i="4"/>
  <c r="B772" i="4"/>
  <c r="C772" i="4" s="1"/>
  <c r="E772" i="4" s="1"/>
  <c r="G772" i="4" s="1"/>
  <c r="F771" i="4"/>
  <c r="D771" i="4"/>
  <c r="B771" i="4"/>
  <c r="C771" i="4" s="1"/>
  <c r="E771" i="4" s="1"/>
  <c r="G771" i="4" s="1"/>
  <c r="F770" i="4"/>
  <c r="D770" i="4"/>
  <c r="C770" i="4"/>
  <c r="E770" i="4" s="1"/>
  <c r="G770" i="4" s="1"/>
  <c r="B770" i="4"/>
  <c r="F769" i="4"/>
  <c r="D769" i="4"/>
  <c r="C769" i="4"/>
  <c r="E769" i="4" s="1"/>
  <c r="G769" i="4" s="1"/>
  <c r="B769" i="4"/>
  <c r="F768" i="4"/>
  <c r="D768" i="4"/>
  <c r="C768" i="4"/>
  <c r="E768" i="4" s="1"/>
  <c r="G768" i="4" s="1"/>
  <c r="B768" i="4"/>
  <c r="F767" i="4"/>
  <c r="D767" i="4"/>
  <c r="B767" i="4"/>
  <c r="C767" i="4" s="1"/>
  <c r="E767" i="4" s="1"/>
  <c r="G767" i="4" s="1"/>
  <c r="F766" i="4"/>
  <c r="D766" i="4"/>
  <c r="B766" i="4"/>
  <c r="C766" i="4" s="1"/>
  <c r="F765" i="4"/>
  <c r="D765" i="4"/>
  <c r="C765" i="4"/>
  <c r="E765" i="4" s="1"/>
  <c r="G765" i="4" s="1"/>
  <c r="B765" i="4"/>
  <c r="F764" i="4"/>
  <c r="D764" i="4"/>
  <c r="B764" i="4"/>
  <c r="C764" i="4" s="1"/>
  <c r="F763" i="4"/>
  <c r="D763" i="4"/>
  <c r="B763" i="4"/>
  <c r="C763" i="4" s="1"/>
  <c r="E763" i="4" s="1"/>
  <c r="G763" i="4" s="1"/>
  <c r="F762" i="4"/>
  <c r="D762" i="4"/>
  <c r="B762" i="4"/>
  <c r="C762" i="4" s="1"/>
  <c r="F761" i="4"/>
  <c r="D761" i="4"/>
  <c r="B761" i="4"/>
  <c r="C761" i="4" s="1"/>
  <c r="F760" i="4"/>
  <c r="I760" i="4" s="1"/>
  <c r="E760" i="4"/>
  <c r="G760" i="4" s="1"/>
  <c r="D760" i="4"/>
  <c r="C760" i="4"/>
  <c r="B760" i="4"/>
  <c r="F759" i="4"/>
  <c r="E759" i="4"/>
  <c r="G759" i="4" s="1"/>
  <c r="D759" i="4"/>
  <c r="B759" i="4"/>
  <c r="C759" i="4" s="1"/>
  <c r="F758" i="4"/>
  <c r="D758" i="4"/>
  <c r="B758" i="4"/>
  <c r="C758" i="4" s="1"/>
  <c r="F757" i="4"/>
  <c r="D757" i="4"/>
  <c r="C757" i="4"/>
  <c r="E757" i="4" s="1"/>
  <c r="G757" i="4" s="1"/>
  <c r="B757" i="4"/>
  <c r="F756" i="4"/>
  <c r="D756" i="4"/>
  <c r="B756" i="4"/>
  <c r="C756" i="4" s="1"/>
  <c r="E756" i="4" s="1"/>
  <c r="G756" i="4" s="1"/>
  <c r="F755" i="4"/>
  <c r="E755" i="4"/>
  <c r="G755" i="4" s="1"/>
  <c r="D755" i="4"/>
  <c r="B755" i="4"/>
  <c r="C755" i="4" s="1"/>
  <c r="F754" i="4"/>
  <c r="E754" i="4"/>
  <c r="G754" i="4" s="1"/>
  <c r="D754" i="4"/>
  <c r="B754" i="4"/>
  <c r="C754" i="4" s="1"/>
  <c r="F753" i="4"/>
  <c r="D753" i="4"/>
  <c r="B753" i="4"/>
  <c r="C753" i="4" s="1"/>
  <c r="E753" i="4" s="1"/>
  <c r="G753" i="4" s="1"/>
  <c r="F752" i="4"/>
  <c r="D752" i="4"/>
  <c r="B752" i="4"/>
  <c r="C752" i="4" s="1"/>
  <c r="E752" i="4" s="1"/>
  <c r="G752" i="4" s="1"/>
  <c r="F751" i="4"/>
  <c r="E751" i="4"/>
  <c r="G751" i="4" s="1"/>
  <c r="H751" i="4" s="1"/>
  <c r="D751" i="4"/>
  <c r="B751" i="4"/>
  <c r="C751" i="4" s="1"/>
  <c r="F750" i="4"/>
  <c r="D750" i="4"/>
  <c r="C750" i="4"/>
  <c r="E750" i="4" s="1"/>
  <c r="G750" i="4" s="1"/>
  <c r="I750" i="4" s="1"/>
  <c r="B750" i="4"/>
  <c r="F749" i="4"/>
  <c r="D749" i="4"/>
  <c r="B749" i="4"/>
  <c r="C749" i="4" s="1"/>
  <c r="E749" i="4" s="1"/>
  <c r="G749" i="4" s="1"/>
  <c r="I749" i="4" s="1"/>
  <c r="I748" i="4"/>
  <c r="F748" i="4"/>
  <c r="D748" i="4"/>
  <c r="B748" i="4"/>
  <c r="C748" i="4" s="1"/>
  <c r="E748" i="4" s="1"/>
  <c r="G748" i="4" s="1"/>
  <c r="F747" i="4"/>
  <c r="D747" i="4"/>
  <c r="B747" i="4"/>
  <c r="C747" i="4" s="1"/>
  <c r="E747" i="4" s="1"/>
  <c r="G747" i="4" s="1"/>
  <c r="F746" i="4"/>
  <c r="D746" i="4"/>
  <c r="B746" i="4"/>
  <c r="C746" i="4" s="1"/>
  <c r="F745" i="4"/>
  <c r="E745" i="4"/>
  <c r="G745" i="4" s="1"/>
  <c r="D745" i="4"/>
  <c r="C745" i="4"/>
  <c r="B745" i="4"/>
  <c r="F744" i="4"/>
  <c r="D744" i="4"/>
  <c r="B744" i="4"/>
  <c r="C744" i="4" s="1"/>
  <c r="E744" i="4" s="1"/>
  <c r="G744" i="4" s="1"/>
  <c r="H744" i="4" s="1"/>
  <c r="F743" i="4"/>
  <c r="D743" i="4"/>
  <c r="C743" i="4"/>
  <c r="E743" i="4" s="1"/>
  <c r="G743" i="4" s="1"/>
  <c r="B743" i="4"/>
  <c r="F742" i="4"/>
  <c r="D742" i="4"/>
  <c r="C742" i="4"/>
  <c r="E742" i="4" s="1"/>
  <c r="G742" i="4" s="1"/>
  <c r="B742" i="4"/>
  <c r="F741" i="4"/>
  <c r="E741" i="4"/>
  <c r="G741" i="4" s="1"/>
  <c r="H741" i="4" s="1"/>
  <c r="D741" i="4"/>
  <c r="C741" i="4"/>
  <c r="B741" i="4"/>
  <c r="F740" i="4"/>
  <c r="D740" i="4"/>
  <c r="C740" i="4"/>
  <c r="E740" i="4" s="1"/>
  <c r="G740" i="4" s="1"/>
  <c r="B740" i="4"/>
  <c r="F739" i="4"/>
  <c r="D739" i="4"/>
  <c r="B739" i="4"/>
  <c r="C739" i="4" s="1"/>
  <c r="E739" i="4" s="1"/>
  <c r="G739" i="4" s="1"/>
  <c r="F738" i="4"/>
  <c r="D738" i="4"/>
  <c r="B738" i="4"/>
  <c r="C738" i="4" s="1"/>
  <c r="E738" i="4" s="1"/>
  <c r="G738" i="4" s="1"/>
  <c r="F737" i="4"/>
  <c r="D737" i="4"/>
  <c r="B737" i="4"/>
  <c r="C737" i="4" s="1"/>
  <c r="E737" i="4" s="1"/>
  <c r="G737" i="4" s="1"/>
  <c r="F736" i="4"/>
  <c r="D736" i="4"/>
  <c r="B736" i="4"/>
  <c r="C736" i="4" s="1"/>
  <c r="E736" i="4" s="1"/>
  <c r="G736" i="4" s="1"/>
  <c r="H736" i="4" s="1"/>
  <c r="G735" i="4"/>
  <c r="H735" i="4" s="1"/>
  <c r="F735" i="4"/>
  <c r="D735" i="4"/>
  <c r="B735" i="4"/>
  <c r="C735" i="4" s="1"/>
  <c r="E735" i="4" s="1"/>
  <c r="F734" i="4"/>
  <c r="D734" i="4"/>
  <c r="B734" i="4"/>
  <c r="C734" i="4" s="1"/>
  <c r="E734" i="4" s="1"/>
  <c r="G734" i="4" s="1"/>
  <c r="F733" i="4"/>
  <c r="D733" i="4"/>
  <c r="B733" i="4"/>
  <c r="C733" i="4" s="1"/>
  <c r="F732" i="4"/>
  <c r="E732" i="4"/>
  <c r="G732" i="4" s="1"/>
  <c r="H732" i="4" s="1"/>
  <c r="D732" i="4"/>
  <c r="C732" i="4"/>
  <c r="B732" i="4"/>
  <c r="F731" i="4"/>
  <c r="D731" i="4"/>
  <c r="B731" i="4"/>
  <c r="C731" i="4" s="1"/>
  <c r="E731" i="4" s="1"/>
  <c r="G731" i="4" s="1"/>
  <c r="F730" i="4"/>
  <c r="D730" i="4"/>
  <c r="B730" i="4"/>
  <c r="C730" i="4" s="1"/>
  <c r="E730" i="4" s="1"/>
  <c r="G730" i="4" s="1"/>
  <c r="F729" i="4"/>
  <c r="D729" i="4"/>
  <c r="B729" i="4"/>
  <c r="C729" i="4" s="1"/>
  <c r="F728" i="4"/>
  <c r="D728" i="4"/>
  <c r="B728" i="4"/>
  <c r="C728" i="4" s="1"/>
  <c r="E728" i="4" s="1"/>
  <c r="G728" i="4" s="1"/>
  <c r="F727" i="4"/>
  <c r="D727" i="4"/>
  <c r="B727" i="4"/>
  <c r="C727" i="4" s="1"/>
  <c r="E727" i="4" s="1"/>
  <c r="G727" i="4" s="1"/>
  <c r="F726" i="4"/>
  <c r="D726" i="4"/>
  <c r="C726" i="4"/>
  <c r="E726" i="4" s="1"/>
  <c r="G726" i="4" s="1"/>
  <c r="B726" i="4"/>
  <c r="F725" i="4"/>
  <c r="D725" i="4"/>
  <c r="B725" i="4"/>
  <c r="C725" i="4" s="1"/>
  <c r="E725" i="4" s="1"/>
  <c r="G725" i="4" s="1"/>
  <c r="H725" i="4" s="1"/>
  <c r="F724" i="4"/>
  <c r="D724" i="4"/>
  <c r="B724" i="4"/>
  <c r="C724" i="4" s="1"/>
  <c r="E724" i="4" s="1"/>
  <c r="G724" i="4" s="1"/>
  <c r="F723" i="4"/>
  <c r="D723" i="4"/>
  <c r="C723" i="4"/>
  <c r="E723" i="4" s="1"/>
  <c r="G723" i="4" s="1"/>
  <c r="I723" i="4" s="1"/>
  <c r="B723" i="4"/>
  <c r="F722" i="4"/>
  <c r="I722" i="4" s="1"/>
  <c r="D722" i="4"/>
  <c r="B722" i="4"/>
  <c r="C722" i="4" s="1"/>
  <c r="E722" i="4" s="1"/>
  <c r="G722" i="4" s="1"/>
  <c r="F721" i="4"/>
  <c r="D721" i="4"/>
  <c r="B721" i="4"/>
  <c r="C721" i="4" s="1"/>
  <c r="E721" i="4" s="1"/>
  <c r="G721" i="4" s="1"/>
  <c r="F720" i="4"/>
  <c r="D720" i="4"/>
  <c r="B720" i="4"/>
  <c r="C720" i="4" s="1"/>
  <c r="E720" i="4" s="1"/>
  <c r="G720" i="4" s="1"/>
  <c r="F719" i="4"/>
  <c r="D719" i="4"/>
  <c r="C719" i="4"/>
  <c r="B719" i="4"/>
  <c r="F718" i="4"/>
  <c r="D718" i="4"/>
  <c r="B718" i="4"/>
  <c r="C718" i="4" s="1"/>
  <c r="E718" i="4" s="1"/>
  <c r="G718" i="4" s="1"/>
  <c r="F717" i="4"/>
  <c r="D717" i="4"/>
  <c r="B717" i="4"/>
  <c r="C717" i="4" s="1"/>
  <c r="E717" i="4" s="1"/>
  <c r="G717" i="4" s="1"/>
  <c r="F716" i="4"/>
  <c r="D716" i="4"/>
  <c r="B716" i="4"/>
  <c r="C716" i="4" s="1"/>
  <c r="E716" i="4" s="1"/>
  <c r="G716" i="4" s="1"/>
  <c r="F715" i="4"/>
  <c r="D715" i="4"/>
  <c r="B715" i="4"/>
  <c r="C715" i="4" s="1"/>
  <c r="E715" i="4" s="1"/>
  <c r="G715" i="4" s="1"/>
  <c r="F714" i="4"/>
  <c r="E714" i="4"/>
  <c r="G714" i="4" s="1"/>
  <c r="D714" i="4"/>
  <c r="B714" i="4"/>
  <c r="C714" i="4" s="1"/>
  <c r="F713" i="4"/>
  <c r="D713" i="4"/>
  <c r="B713" i="4"/>
  <c r="C713" i="4" s="1"/>
  <c r="E713" i="4" s="1"/>
  <c r="G713" i="4" s="1"/>
  <c r="H713" i="4" s="1"/>
  <c r="G712" i="4"/>
  <c r="F712" i="4"/>
  <c r="D712" i="4"/>
  <c r="B712" i="4"/>
  <c r="C712" i="4" s="1"/>
  <c r="E712" i="4" s="1"/>
  <c r="F711" i="4"/>
  <c r="D711" i="4"/>
  <c r="B711" i="4"/>
  <c r="C711" i="4" s="1"/>
  <c r="E711" i="4" s="1"/>
  <c r="G711" i="4" s="1"/>
  <c r="F710" i="4"/>
  <c r="D710" i="4"/>
  <c r="B710" i="4"/>
  <c r="C710" i="4" s="1"/>
  <c r="G709" i="4"/>
  <c r="I709" i="4" s="1"/>
  <c r="F709" i="4"/>
  <c r="D709" i="4"/>
  <c r="B709" i="4"/>
  <c r="C709" i="4" s="1"/>
  <c r="E709" i="4" s="1"/>
  <c r="F708" i="4"/>
  <c r="D708" i="4"/>
  <c r="C708" i="4"/>
  <c r="E708" i="4" s="1"/>
  <c r="G708" i="4" s="1"/>
  <c r="B708" i="4"/>
  <c r="G707" i="4"/>
  <c r="H707" i="4" s="1"/>
  <c r="F707" i="4"/>
  <c r="D707" i="4"/>
  <c r="C707" i="4"/>
  <c r="E707" i="4" s="1"/>
  <c r="B707" i="4"/>
  <c r="F706" i="4"/>
  <c r="E706" i="4"/>
  <c r="G706" i="4" s="1"/>
  <c r="D706" i="4"/>
  <c r="B706" i="4"/>
  <c r="C706" i="4" s="1"/>
  <c r="F705" i="4"/>
  <c r="D705" i="4"/>
  <c r="B705" i="4"/>
  <c r="C705" i="4" s="1"/>
  <c r="E705" i="4" s="1"/>
  <c r="G705" i="4" s="1"/>
  <c r="F704" i="4"/>
  <c r="D704" i="4"/>
  <c r="B704" i="4"/>
  <c r="C704" i="4" s="1"/>
  <c r="E704" i="4" s="1"/>
  <c r="G704" i="4" s="1"/>
  <c r="F703" i="4"/>
  <c r="D703" i="4"/>
  <c r="C703" i="4"/>
  <c r="E703" i="4" s="1"/>
  <c r="G703" i="4" s="1"/>
  <c r="B703" i="4"/>
  <c r="F702" i="4"/>
  <c r="D702" i="4"/>
  <c r="B702" i="4"/>
  <c r="C702" i="4" s="1"/>
  <c r="F701" i="4"/>
  <c r="D701" i="4"/>
  <c r="B701" i="4"/>
  <c r="C701" i="4" s="1"/>
  <c r="E701" i="4" s="1"/>
  <c r="G701" i="4" s="1"/>
  <c r="I701" i="4" s="1"/>
  <c r="F700" i="4"/>
  <c r="D700" i="4"/>
  <c r="C700" i="4"/>
  <c r="B700" i="4"/>
  <c r="F699" i="4"/>
  <c r="D699" i="4"/>
  <c r="B699" i="4"/>
  <c r="C699" i="4" s="1"/>
  <c r="F698" i="4"/>
  <c r="D698" i="4"/>
  <c r="C698" i="4"/>
  <c r="E698" i="4" s="1"/>
  <c r="G698" i="4" s="1"/>
  <c r="I698" i="4" s="1"/>
  <c r="B698" i="4"/>
  <c r="F697" i="4"/>
  <c r="E697" i="4"/>
  <c r="G697" i="4" s="1"/>
  <c r="H697" i="4" s="1"/>
  <c r="D697" i="4"/>
  <c r="B697" i="4"/>
  <c r="C697" i="4" s="1"/>
  <c r="F696" i="4"/>
  <c r="D696" i="4"/>
  <c r="B696" i="4"/>
  <c r="C696" i="4" s="1"/>
  <c r="F695" i="4"/>
  <c r="D695" i="4"/>
  <c r="C695" i="4"/>
  <c r="E695" i="4" s="1"/>
  <c r="G695" i="4" s="1"/>
  <c r="B695" i="4"/>
  <c r="F694" i="4"/>
  <c r="D694" i="4"/>
  <c r="B694" i="4"/>
  <c r="C694" i="4" s="1"/>
  <c r="F693" i="4"/>
  <c r="D693" i="4"/>
  <c r="B693" i="4"/>
  <c r="C693" i="4" s="1"/>
  <c r="F692" i="4"/>
  <c r="D692" i="4"/>
  <c r="C692" i="4"/>
  <c r="B692" i="4"/>
  <c r="F691" i="4"/>
  <c r="D691" i="4"/>
  <c r="C691" i="4"/>
  <c r="E691" i="4" s="1"/>
  <c r="G691" i="4" s="1"/>
  <c r="B691" i="4"/>
  <c r="F690" i="4"/>
  <c r="D690" i="4"/>
  <c r="B690" i="4"/>
  <c r="C690" i="4" s="1"/>
  <c r="E690" i="4" s="1"/>
  <c r="G690" i="4" s="1"/>
  <c r="F689" i="4"/>
  <c r="D689" i="4"/>
  <c r="B689" i="4"/>
  <c r="C689" i="4" s="1"/>
  <c r="F688" i="4"/>
  <c r="D688" i="4"/>
  <c r="B688" i="4"/>
  <c r="C688" i="4" s="1"/>
  <c r="E688" i="4" s="1"/>
  <c r="G688" i="4" s="1"/>
  <c r="F687" i="4"/>
  <c r="D687" i="4"/>
  <c r="B687" i="4"/>
  <c r="C687" i="4" s="1"/>
  <c r="E687" i="4" s="1"/>
  <c r="G687" i="4" s="1"/>
  <c r="H687" i="4" s="1"/>
  <c r="F686" i="4"/>
  <c r="E686" i="4"/>
  <c r="G686" i="4" s="1"/>
  <c r="I686" i="4" s="1"/>
  <c r="D686" i="4"/>
  <c r="B686" i="4"/>
  <c r="C686" i="4" s="1"/>
  <c r="G685" i="4"/>
  <c r="H685" i="4" s="1"/>
  <c r="F685" i="4"/>
  <c r="D685" i="4"/>
  <c r="B685" i="4"/>
  <c r="C685" i="4" s="1"/>
  <c r="E685" i="4" s="1"/>
  <c r="F684" i="4"/>
  <c r="D684" i="4"/>
  <c r="B684" i="4"/>
  <c r="C684" i="4" s="1"/>
  <c r="E684" i="4" s="1"/>
  <c r="G684" i="4" s="1"/>
  <c r="F683" i="4"/>
  <c r="I683" i="4" s="1"/>
  <c r="D683" i="4"/>
  <c r="C683" i="4"/>
  <c r="E683" i="4" s="1"/>
  <c r="G683" i="4" s="1"/>
  <c r="B683" i="4"/>
  <c r="F682" i="4"/>
  <c r="D682" i="4"/>
  <c r="B682" i="4"/>
  <c r="C682" i="4" s="1"/>
  <c r="E682" i="4" s="1"/>
  <c r="G682" i="4" s="1"/>
  <c r="F681" i="4"/>
  <c r="D681" i="4"/>
  <c r="C681" i="4"/>
  <c r="B681" i="4"/>
  <c r="F680" i="4"/>
  <c r="D680" i="4"/>
  <c r="B680" i="4"/>
  <c r="C680" i="4" s="1"/>
  <c r="E680" i="4" s="1"/>
  <c r="G680" i="4" s="1"/>
  <c r="F679" i="4"/>
  <c r="D679" i="4"/>
  <c r="B679" i="4"/>
  <c r="C679" i="4" s="1"/>
  <c r="E679" i="4" s="1"/>
  <c r="G679" i="4" s="1"/>
  <c r="H679" i="4" s="1"/>
  <c r="F678" i="4"/>
  <c r="E678" i="4"/>
  <c r="G678" i="4" s="1"/>
  <c r="D678" i="4"/>
  <c r="B678" i="4"/>
  <c r="C678" i="4" s="1"/>
  <c r="F677" i="4"/>
  <c r="D677" i="4"/>
  <c r="B677" i="4"/>
  <c r="C677" i="4" s="1"/>
  <c r="E677" i="4" s="1"/>
  <c r="G677" i="4" s="1"/>
  <c r="F676" i="4"/>
  <c r="D676" i="4"/>
  <c r="B676" i="4"/>
  <c r="C676" i="4" s="1"/>
  <c r="F675" i="4"/>
  <c r="D675" i="4"/>
  <c r="B675" i="4"/>
  <c r="C675" i="4" s="1"/>
  <c r="E675" i="4" s="1"/>
  <c r="G675" i="4" s="1"/>
  <c r="H675" i="4" s="1"/>
  <c r="F674" i="4"/>
  <c r="D674" i="4"/>
  <c r="B674" i="4"/>
  <c r="C674" i="4" s="1"/>
  <c r="E674" i="4" s="1"/>
  <c r="G674" i="4" s="1"/>
  <c r="F673" i="4"/>
  <c r="D673" i="4"/>
  <c r="B673" i="4"/>
  <c r="C673" i="4" s="1"/>
  <c r="F672" i="4"/>
  <c r="D672" i="4"/>
  <c r="B672" i="4"/>
  <c r="C672" i="4" s="1"/>
  <c r="E672" i="4" s="1"/>
  <c r="G672" i="4" s="1"/>
  <c r="F671" i="4"/>
  <c r="D671" i="4"/>
  <c r="C671" i="4"/>
  <c r="E671" i="4" s="1"/>
  <c r="G671" i="4" s="1"/>
  <c r="B671" i="4"/>
  <c r="F670" i="4"/>
  <c r="D670" i="4"/>
  <c r="B670" i="4"/>
  <c r="C670" i="4" s="1"/>
  <c r="E670" i="4" s="1"/>
  <c r="G670" i="4" s="1"/>
  <c r="F669" i="4"/>
  <c r="D669" i="4"/>
  <c r="B669" i="4"/>
  <c r="C669" i="4" s="1"/>
  <c r="E669" i="4" s="1"/>
  <c r="G669" i="4" s="1"/>
  <c r="I668" i="4"/>
  <c r="H668" i="4"/>
  <c r="F668" i="4"/>
  <c r="D668" i="4"/>
  <c r="C668" i="4"/>
  <c r="E668" i="4" s="1"/>
  <c r="G668" i="4" s="1"/>
  <c r="B668" i="4"/>
  <c r="F667" i="4"/>
  <c r="D667" i="4"/>
  <c r="B667" i="4"/>
  <c r="C667" i="4" s="1"/>
  <c r="F666" i="4"/>
  <c r="D666" i="4"/>
  <c r="C666" i="4"/>
  <c r="E666" i="4" s="1"/>
  <c r="G666" i="4" s="1"/>
  <c r="B666" i="4"/>
  <c r="F665" i="4"/>
  <c r="D665" i="4"/>
  <c r="B665" i="4"/>
  <c r="C665" i="4" s="1"/>
  <c r="E665" i="4" s="1"/>
  <c r="G665" i="4" s="1"/>
  <c r="H665" i="4" s="1"/>
  <c r="F664" i="4"/>
  <c r="D664" i="4"/>
  <c r="E664" i="4" s="1"/>
  <c r="G664" i="4" s="1"/>
  <c r="B664" i="4"/>
  <c r="C664" i="4" s="1"/>
  <c r="F663" i="4"/>
  <c r="D663" i="4"/>
  <c r="C663" i="4"/>
  <c r="E663" i="4" s="1"/>
  <c r="G663" i="4" s="1"/>
  <c r="B663" i="4"/>
  <c r="F662" i="4"/>
  <c r="D662" i="4"/>
  <c r="B662" i="4"/>
  <c r="C662" i="4" s="1"/>
  <c r="E662" i="4" s="1"/>
  <c r="G662" i="4" s="1"/>
  <c r="F661" i="4"/>
  <c r="D661" i="4"/>
  <c r="C661" i="4"/>
  <c r="E661" i="4" s="1"/>
  <c r="G661" i="4" s="1"/>
  <c r="B661" i="4"/>
  <c r="G660" i="4"/>
  <c r="F660" i="4"/>
  <c r="D660" i="4"/>
  <c r="C660" i="4"/>
  <c r="E660" i="4" s="1"/>
  <c r="B660" i="4"/>
  <c r="F659" i="4"/>
  <c r="D659" i="4"/>
  <c r="B659" i="4"/>
  <c r="C659" i="4" s="1"/>
  <c r="E659" i="4" s="1"/>
  <c r="G659" i="4" s="1"/>
  <c r="F658" i="4"/>
  <c r="D658" i="4"/>
  <c r="B658" i="4"/>
  <c r="C658" i="4" s="1"/>
  <c r="F657" i="4"/>
  <c r="D657" i="4"/>
  <c r="B657" i="4"/>
  <c r="C657" i="4" s="1"/>
  <c r="E657" i="4" s="1"/>
  <c r="G657" i="4" s="1"/>
  <c r="F656" i="4"/>
  <c r="D656" i="4"/>
  <c r="C656" i="4"/>
  <c r="B656" i="4"/>
  <c r="F655" i="4"/>
  <c r="D655" i="4"/>
  <c r="B655" i="4"/>
  <c r="C655" i="4" s="1"/>
  <c r="E655" i="4" s="1"/>
  <c r="G655" i="4" s="1"/>
  <c r="F654" i="4"/>
  <c r="D654" i="4"/>
  <c r="B654" i="4"/>
  <c r="C654" i="4" s="1"/>
  <c r="E654" i="4" s="1"/>
  <c r="G654" i="4" s="1"/>
  <c r="H654" i="4" s="1"/>
  <c r="F653" i="4"/>
  <c r="D653" i="4"/>
  <c r="C653" i="4"/>
  <c r="E653" i="4" s="1"/>
  <c r="G653" i="4" s="1"/>
  <c r="B653" i="4"/>
  <c r="F652" i="4"/>
  <c r="E652" i="4"/>
  <c r="G652" i="4" s="1"/>
  <c r="D652" i="4"/>
  <c r="C652" i="4"/>
  <c r="B652" i="4"/>
  <c r="F651" i="4"/>
  <c r="D651" i="4"/>
  <c r="B651" i="4"/>
  <c r="C651" i="4" s="1"/>
  <c r="E651" i="4" s="1"/>
  <c r="G651" i="4" s="1"/>
  <c r="F650" i="4"/>
  <c r="D650" i="4"/>
  <c r="B650" i="4"/>
  <c r="C650" i="4" s="1"/>
  <c r="F649" i="4"/>
  <c r="D649" i="4"/>
  <c r="B649" i="4"/>
  <c r="C649" i="4" s="1"/>
  <c r="E649" i="4" s="1"/>
  <c r="G649" i="4" s="1"/>
  <c r="F648" i="4"/>
  <c r="D648" i="4"/>
  <c r="B648" i="4"/>
  <c r="C648" i="4" s="1"/>
  <c r="F647" i="4"/>
  <c r="D647" i="4"/>
  <c r="B647" i="4"/>
  <c r="C647" i="4" s="1"/>
  <c r="F646" i="4"/>
  <c r="D646" i="4"/>
  <c r="B646" i="4"/>
  <c r="C646" i="4" s="1"/>
  <c r="F645" i="4"/>
  <c r="D645" i="4"/>
  <c r="B645" i="4"/>
  <c r="C645" i="4" s="1"/>
  <c r="E645" i="4" s="1"/>
  <c r="G645" i="4" s="1"/>
  <c r="H644" i="4"/>
  <c r="F644" i="4"/>
  <c r="I644" i="4" s="1"/>
  <c r="D644" i="4"/>
  <c r="B644" i="4"/>
  <c r="C644" i="4" s="1"/>
  <c r="E644" i="4" s="1"/>
  <c r="G644" i="4" s="1"/>
  <c r="F643" i="4"/>
  <c r="D643" i="4"/>
  <c r="C643" i="4"/>
  <c r="E643" i="4" s="1"/>
  <c r="G643" i="4" s="1"/>
  <c r="B643" i="4"/>
  <c r="F642" i="4"/>
  <c r="D642" i="4"/>
  <c r="B642" i="4"/>
  <c r="C642" i="4" s="1"/>
  <c r="E642" i="4" s="1"/>
  <c r="G642" i="4" s="1"/>
  <c r="F641" i="4"/>
  <c r="D641" i="4"/>
  <c r="C641" i="4"/>
  <c r="B641" i="4"/>
  <c r="G640" i="4"/>
  <c r="F640" i="4"/>
  <c r="D640" i="4"/>
  <c r="B640" i="4"/>
  <c r="C640" i="4" s="1"/>
  <c r="E640" i="4" s="1"/>
  <c r="G639" i="4"/>
  <c r="F639" i="4"/>
  <c r="E639" i="4"/>
  <c r="D639" i="4"/>
  <c r="B639" i="4"/>
  <c r="C639" i="4" s="1"/>
  <c r="F638" i="4"/>
  <c r="D638" i="4"/>
  <c r="B638" i="4"/>
  <c r="C638" i="4" s="1"/>
  <c r="E638" i="4" s="1"/>
  <c r="G638" i="4" s="1"/>
  <c r="F637" i="4"/>
  <c r="D637" i="4"/>
  <c r="B637" i="4"/>
  <c r="C637" i="4" s="1"/>
  <c r="E637" i="4" s="1"/>
  <c r="G637" i="4" s="1"/>
  <c r="H637" i="4" s="1"/>
  <c r="F636" i="4"/>
  <c r="H636" i="4" s="1"/>
  <c r="E636" i="4"/>
  <c r="G636" i="4" s="1"/>
  <c r="D636" i="4"/>
  <c r="B636" i="4"/>
  <c r="C636" i="4" s="1"/>
  <c r="F635" i="4"/>
  <c r="D635" i="4"/>
  <c r="B635" i="4"/>
  <c r="C635" i="4" s="1"/>
  <c r="E635" i="4" s="1"/>
  <c r="G635" i="4" s="1"/>
  <c r="F634" i="4"/>
  <c r="D634" i="4"/>
  <c r="B634" i="4"/>
  <c r="C634" i="4" s="1"/>
  <c r="E634" i="4" s="1"/>
  <c r="G634" i="4" s="1"/>
  <c r="F633" i="4"/>
  <c r="D633" i="4"/>
  <c r="B633" i="4"/>
  <c r="C633" i="4" s="1"/>
  <c r="E633" i="4" s="1"/>
  <c r="G633" i="4" s="1"/>
  <c r="F632" i="4"/>
  <c r="D632" i="4"/>
  <c r="B632" i="4"/>
  <c r="C632" i="4" s="1"/>
  <c r="F631" i="4"/>
  <c r="D631" i="4"/>
  <c r="B631" i="4"/>
  <c r="C631" i="4" s="1"/>
  <c r="E631" i="4" s="1"/>
  <c r="G631" i="4" s="1"/>
  <c r="F630" i="4"/>
  <c r="D630" i="4"/>
  <c r="B630" i="4"/>
  <c r="C630" i="4" s="1"/>
  <c r="E630" i="4" s="1"/>
  <c r="G630" i="4" s="1"/>
  <c r="F629" i="4"/>
  <c r="D629" i="4"/>
  <c r="B629" i="4"/>
  <c r="C629" i="4" s="1"/>
  <c r="E629" i="4" s="1"/>
  <c r="G629" i="4" s="1"/>
  <c r="F628" i="4"/>
  <c r="D628" i="4"/>
  <c r="B628" i="4"/>
  <c r="C628" i="4" s="1"/>
  <c r="E628" i="4" s="1"/>
  <c r="G628" i="4" s="1"/>
  <c r="F627" i="4"/>
  <c r="D627" i="4"/>
  <c r="B627" i="4"/>
  <c r="C627" i="4" s="1"/>
  <c r="E627" i="4" s="1"/>
  <c r="G627" i="4" s="1"/>
  <c r="F626" i="4"/>
  <c r="D626" i="4"/>
  <c r="B626" i="4"/>
  <c r="C626" i="4" s="1"/>
  <c r="E626" i="4" s="1"/>
  <c r="G626" i="4" s="1"/>
  <c r="F625" i="4"/>
  <c r="D625" i="4"/>
  <c r="B625" i="4"/>
  <c r="C625" i="4" s="1"/>
  <c r="F624" i="4"/>
  <c r="D624" i="4"/>
  <c r="B624" i="4"/>
  <c r="C624" i="4" s="1"/>
  <c r="E624" i="4" s="1"/>
  <c r="G624" i="4" s="1"/>
  <c r="F623" i="4"/>
  <c r="D623" i="4"/>
  <c r="B623" i="4"/>
  <c r="C623" i="4" s="1"/>
  <c r="E623" i="4" s="1"/>
  <c r="G623" i="4" s="1"/>
  <c r="I623" i="4" s="1"/>
  <c r="F622" i="4"/>
  <c r="D622" i="4"/>
  <c r="B622" i="4"/>
  <c r="C622" i="4" s="1"/>
  <c r="E622" i="4" s="1"/>
  <c r="G622" i="4" s="1"/>
  <c r="F621" i="4"/>
  <c r="D621" i="4"/>
  <c r="C621" i="4"/>
  <c r="E621" i="4" s="1"/>
  <c r="G621" i="4" s="1"/>
  <c r="B621" i="4"/>
  <c r="F620" i="4"/>
  <c r="D620" i="4"/>
  <c r="B620" i="4"/>
  <c r="C620" i="4" s="1"/>
  <c r="E620" i="4" s="1"/>
  <c r="G620" i="4" s="1"/>
  <c r="I619" i="4"/>
  <c r="H619" i="4"/>
  <c r="F619" i="4"/>
  <c r="D619" i="4"/>
  <c r="B619" i="4"/>
  <c r="C619" i="4" s="1"/>
  <c r="E619" i="4" s="1"/>
  <c r="G619" i="4" s="1"/>
  <c r="F618" i="4"/>
  <c r="D618" i="4"/>
  <c r="C618" i="4"/>
  <c r="E618" i="4" s="1"/>
  <c r="G618" i="4" s="1"/>
  <c r="B618" i="4"/>
  <c r="F617" i="4"/>
  <c r="E617" i="4"/>
  <c r="G617" i="4" s="1"/>
  <c r="D617" i="4"/>
  <c r="C617" i="4"/>
  <c r="B617" i="4"/>
  <c r="F616" i="4"/>
  <c r="D616" i="4"/>
  <c r="B616" i="4"/>
  <c r="C616" i="4" s="1"/>
  <c r="F615" i="4"/>
  <c r="D615" i="4"/>
  <c r="B615" i="4"/>
  <c r="C615" i="4" s="1"/>
  <c r="F614" i="4"/>
  <c r="D614" i="4"/>
  <c r="B614" i="4"/>
  <c r="C614" i="4" s="1"/>
  <c r="E614" i="4" s="1"/>
  <c r="G614" i="4" s="1"/>
  <c r="G613" i="4"/>
  <c r="F613" i="4"/>
  <c r="D613" i="4"/>
  <c r="C613" i="4"/>
  <c r="E613" i="4" s="1"/>
  <c r="B613" i="4"/>
  <c r="F612" i="4"/>
  <c r="D612" i="4"/>
  <c r="C612" i="4"/>
  <c r="E612" i="4" s="1"/>
  <c r="G612" i="4" s="1"/>
  <c r="B612" i="4"/>
  <c r="F611" i="4"/>
  <c r="D611" i="4"/>
  <c r="B611" i="4"/>
  <c r="C611" i="4" s="1"/>
  <c r="E611" i="4" s="1"/>
  <c r="G611" i="4" s="1"/>
  <c r="H611" i="4" s="1"/>
  <c r="G610" i="4"/>
  <c r="F610" i="4"/>
  <c r="D610" i="4"/>
  <c r="B610" i="4"/>
  <c r="C610" i="4" s="1"/>
  <c r="E610" i="4" s="1"/>
  <c r="F609" i="4"/>
  <c r="D609" i="4"/>
  <c r="B609" i="4"/>
  <c r="C609" i="4" s="1"/>
  <c r="E609" i="4" s="1"/>
  <c r="G609" i="4" s="1"/>
  <c r="F608" i="4"/>
  <c r="D608" i="4"/>
  <c r="C608" i="4"/>
  <c r="E608" i="4" s="1"/>
  <c r="G608" i="4" s="1"/>
  <c r="B608" i="4"/>
  <c r="F607" i="4"/>
  <c r="E607" i="4"/>
  <c r="G607" i="4" s="1"/>
  <c r="H607" i="4" s="1"/>
  <c r="D607" i="4"/>
  <c r="B607" i="4"/>
  <c r="C607" i="4" s="1"/>
  <c r="F606" i="4"/>
  <c r="D606" i="4"/>
  <c r="B606" i="4"/>
  <c r="C606" i="4" s="1"/>
  <c r="E606" i="4" s="1"/>
  <c r="G606" i="4" s="1"/>
  <c r="H606" i="4" s="1"/>
  <c r="F605" i="4"/>
  <c r="D605" i="4"/>
  <c r="B605" i="4"/>
  <c r="C605" i="4" s="1"/>
  <c r="F604" i="4"/>
  <c r="D604" i="4"/>
  <c r="B604" i="4"/>
  <c r="C604" i="4" s="1"/>
  <c r="F603" i="4"/>
  <c r="D603" i="4"/>
  <c r="B603" i="4"/>
  <c r="C603" i="4" s="1"/>
  <c r="E603" i="4" s="1"/>
  <c r="G603" i="4" s="1"/>
  <c r="F602" i="4"/>
  <c r="D602" i="4"/>
  <c r="B602" i="4"/>
  <c r="C602" i="4" s="1"/>
  <c r="E602" i="4" s="1"/>
  <c r="G602" i="4" s="1"/>
  <c r="F601" i="4"/>
  <c r="D601" i="4"/>
  <c r="B601" i="4"/>
  <c r="C601" i="4" s="1"/>
  <c r="E601" i="4" s="1"/>
  <c r="G601" i="4" s="1"/>
  <c r="F600" i="4"/>
  <c r="D600" i="4"/>
  <c r="B600" i="4"/>
  <c r="C600" i="4" s="1"/>
  <c r="E600" i="4" s="1"/>
  <c r="G600" i="4" s="1"/>
  <c r="F599" i="4"/>
  <c r="D599" i="4"/>
  <c r="B599" i="4"/>
  <c r="C599" i="4" s="1"/>
  <c r="E599" i="4" s="1"/>
  <c r="G599" i="4" s="1"/>
  <c r="F598" i="4"/>
  <c r="D598" i="4"/>
  <c r="C598" i="4"/>
  <c r="E598" i="4" s="1"/>
  <c r="G598" i="4" s="1"/>
  <c r="I598" i="4" s="1"/>
  <c r="B598" i="4"/>
  <c r="F597" i="4"/>
  <c r="D597" i="4"/>
  <c r="C597" i="4"/>
  <c r="E597" i="4" s="1"/>
  <c r="G597" i="4" s="1"/>
  <c r="B597" i="4"/>
  <c r="F596" i="4"/>
  <c r="D596" i="4"/>
  <c r="B596" i="4"/>
  <c r="C596" i="4" s="1"/>
  <c r="E596" i="4" s="1"/>
  <c r="G596" i="4" s="1"/>
  <c r="H596" i="4" s="1"/>
  <c r="G595" i="4"/>
  <c r="F595" i="4"/>
  <c r="D595" i="4"/>
  <c r="C595" i="4"/>
  <c r="E595" i="4" s="1"/>
  <c r="B595" i="4"/>
  <c r="F594" i="4"/>
  <c r="D594" i="4"/>
  <c r="B594" i="4"/>
  <c r="C594" i="4" s="1"/>
  <c r="E594" i="4" s="1"/>
  <c r="G594" i="4" s="1"/>
  <c r="F593" i="4"/>
  <c r="D593" i="4"/>
  <c r="B593" i="4"/>
  <c r="C593" i="4" s="1"/>
  <c r="E593" i="4" s="1"/>
  <c r="G593" i="4" s="1"/>
  <c r="F592" i="4"/>
  <c r="D592" i="4"/>
  <c r="B592" i="4"/>
  <c r="C592" i="4" s="1"/>
  <c r="E592" i="4" s="1"/>
  <c r="G592" i="4" s="1"/>
  <c r="F591" i="4"/>
  <c r="D591" i="4"/>
  <c r="B591" i="4"/>
  <c r="C591" i="4" s="1"/>
  <c r="E591" i="4" s="1"/>
  <c r="G591" i="4" s="1"/>
  <c r="F590" i="4"/>
  <c r="D590" i="4"/>
  <c r="B590" i="4"/>
  <c r="C590" i="4" s="1"/>
  <c r="E590" i="4" s="1"/>
  <c r="G590" i="4" s="1"/>
  <c r="F589" i="4"/>
  <c r="D589" i="4"/>
  <c r="B589" i="4"/>
  <c r="C589" i="4" s="1"/>
  <c r="F588" i="4"/>
  <c r="D588" i="4"/>
  <c r="B588" i="4"/>
  <c r="C588" i="4" s="1"/>
  <c r="E588" i="4" s="1"/>
  <c r="G588" i="4" s="1"/>
  <c r="I588" i="4" s="1"/>
  <c r="F587" i="4"/>
  <c r="D587" i="4"/>
  <c r="B587" i="4"/>
  <c r="C587" i="4" s="1"/>
  <c r="E587" i="4" s="1"/>
  <c r="G587" i="4" s="1"/>
  <c r="F586" i="4"/>
  <c r="E586" i="4"/>
  <c r="G586" i="4" s="1"/>
  <c r="D586" i="4"/>
  <c r="B586" i="4"/>
  <c r="C586" i="4" s="1"/>
  <c r="I585" i="4"/>
  <c r="F585" i="4"/>
  <c r="H585" i="4" s="1"/>
  <c r="D585" i="4"/>
  <c r="C585" i="4"/>
  <c r="E585" i="4" s="1"/>
  <c r="G585" i="4" s="1"/>
  <c r="B585" i="4"/>
  <c r="F584" i="4"/>
  <c r="D584" i="4"/>
  <c r="B584" i="4"/>
  <c r="C584" i="4" s="1"/>
  <c r="E584" i="4" s="1"/>
  <c r="G584" i="4" s="1"/>
  <c r="F583" i="4"/>
  <c r="D583" i="4"/>
  <c r="B583" i="4"/>
  <c r="C583" i="4" s="1"/>
  <c r="E583" i="4" s="1"/>
  <c r="G583" i="4" s="1"/>
  <c r="I583" i="4" s="1"/>
  <c r="F582" i="4"/>
  <c r="D582" i="4"/>
  <c r="C582" i="4"/>
  <c r="B582" i="4"/>
  <c r="F581" i="4"/>
  <c r="E581" i="4"/>
  <c r="G581" i="4" s="1"/>
  <c r="I581" i="4" s="1"/>
  <c r="D581" i="4"/>
  <c r="B581" i="4"/>
  <c r="C581" i="4" s="1"/>
  <c r="G580" i="4"/>
  <c r="H580" i="4" s="1"/>
  <c r="F580" i="4"/>
  <c r="D580" i="4"/>
  <c r="B580" i="4"/>
  <c r="C580" i="4" s="1"/>
  <c r="E580" i="4" s="1"/>
  <c r="F579" i="4"/>
  <c r="D579" i="4"/>
  <c r="C579" i="4"/>
  <c r="E579" i="4" s="1"/>
  <c r="G579" i="4" s="1"/>
  <c r="B579" i="4"/>
  <c r="F578" i="4"/>
  <c r="D578" i="4"/>
  <c r="E578" i="4" s="1"/>
  <c r="G578" i="4" s="1"/>
  <c r="I578" i="4" s="1"/>
  <c r="C578" i="4"/>
  <c r="B578" i="4"/>
  <c r="F577" i="4"/>
  <c r="D577" i="4"/>
  <c r="B577" i="4"/>
  <c r="C577" i="4" s="1"/>
  <c r="F576" i="4"/>
  <c r="D576" i="4"/>
  <c r="C576" i="4"/>
  <c r="E576" i="4" s="1"/>
  <c r="G576" i="4" s="1"/>
  <c r="I576" i="4" s="1"/>
  <c r="B576" i="4"/>
  <c r="F575" i="4"/>
  <c r="D575" i="4"/>
  <c r="B575" i="4"/>
  <c r="C575" i="4" s="1"/>
  <c r="E575" i="4" s="1"/>
  <c r="G575" i="4" s="1"/>
  <c r="F574" i="4"/>
  <c r="D574" i="4"/>
  <c r="B574" i="4"/>
  <c r="C574" i="4" s="1"/>
  <c r="F573" i="4"/>
  <c r="D573" i="4"/>
  <c r="B573" i="4"/>
  <c r="C573" i="4" s="1"/>
  <c r="E573" i="4" s="1"/>
  <c r="G573" i="4" s="1"/>
  <c r="I573" i="4" s="1"/>
  <c r="F572" i="4"/>
  <c r="D572" i="4"/>
  <c r="B572" i="4"/>
  <c r="C572" i="4" s="1"/>
  <c r="E572" i="4" s="1"/>
  <c r="G572" i="4" s="1"/>
  <c r="G571" i="4"/>
  <c r="I571" i="4" s="1"/>
  <c r="F571" i="4"/>
  <c r="E571" i="4"/>
  <c r="D571" i="4"/>
  <c r="C571" i="4"/>
  <c r="B571" i="4"/>
  <c r="F570" i="4"/>
  <c r="E570" i="4"/>
  <c r="G570" i="4" s="1"/>
  <c r="D570" i="4"/>
  <c r="B570" i="4"/>
  <c r="C570" i="4" s="1"/>
  <c r="F569" i="4"/>
  <c r="D569" i="4"/>
  <c r="B569" i="4"/>
  <c r="C569" i="4" s="1"/>
  <c r="F568" i="4"/>
  <c r="D568" i="4"/>
  <c r="B568" i="4"/>
  <c r="C568" i="4" s="1"/>
  <c r="E568" i="4" s="1"/>
  <c r="G568" i="4" s="1"/>
  <c r="I568" i="4" s="1"/>
  <c r="F567" i="4"/>
  <c r="D567" i="4"/>
  <c r="C567" i="4"/>
  <c r="E567" i="4" s="1"/>
  <c r="G567" i="4" s="1"/>
  <c r="B567" i="4"/>
  <c r="F566" i="4"/>
  <c r="D566" i="4"/>
  <c r="B566" i="4"/>
  <c r="C566" i="4" s="1"/>
  <c r="E566" i="4" s="1"/>
  <c r="G566" i="4" s="1"/>
  <c r="F565" i="4"/>
  <c r="D565" i="4"/>
  <c r="B565" i="4"/>
  <c r="C565" i="4" s="1"/>
  <c r="E565" i="4" s="1"/>
  <c r="G565" i="4" s="1"/>
  <c r="H565" i="4" s="1"/>
  <c r="F564" i="4"/>
  <c r="D564" i="4"/>
  <c r="C564" i="4"/>
  <c r="E564" i="4" s="1"/>
  <c r="G564" i="4" s="1"/>
  <c r="B564" i="4"/>
  <c r="F563" i="4"/>
  <c r="D563" i="4"/>
  <c r="B563" i="4"/>
  <c r="C563" i="4" s="1"/>
  <c r="E563" i="4" s="1"/>
  <c r="G563" i="4" s="1"/>
  <c r="I563" i="4" s="1"/>
  <c r="G562" i="4"/>
  <c r="I562" i="4" s="1"/>
  <c r="F562" i="4"/>
  <c r="D562" i="4"/>
  <c r="B562" i="4"/>
  <c r="C562" i="4" s="1"/>
  <c r="E562" i="4" s="1"/>
  <c r="F561" i="4"/>
  <c r="D561" i="4"/>
  <c r="C561" i="4"/>
  <c r="E561" i="4" s="1"/>
  <c r="G561" i="4" s="1"/>
  <c r="I561" i="4" s="1"/>
  <c r="B561" i="4"/>
  <c r="F560" i="4"/>
  <c r="D560" i="4"/>
  <c r="E560" i="4" s="1"/>
  <c r="G560" i="4" s="1"/>
  <c r="C560" i="4"/>
  <c r="B560" i="4"/>
  <c r="F559" i="4"/>
  <c r="D559" i="4"/>
  <c r="B559" i="4"/>
  <c r="C559" i="4" s="1"/>
  <c r="E559" i="4" s="1"/>
  <c r="G559" i="4" s="1"/>
  <c r="F558" i="4"/>
  <c r="D558" i="4"/>
  <c r="C558" i="4"/>
  <c r="E558" i="4" s="1"/>
  <c r="G558" i="4" s="1"/>
  <c r="B558" i="4"/>
  <c r="F557" i="4"/>
  <c r="D557" i="4"/>
  <c r="B557" i="4"/>
  <c r="C557" i="4" s="1"/>
  <c r="E557" i="4" s="1"/>
  <c r="G557" i="4" s="1"/>
  <c r="F556" i="4"/>
  <c r="I556" i="4" s="1"/>
  <c r="D556" i="4"/>
  <c r="C556" i="4"/>
  <c r="E556" i="4" s="1"/>
  <c r="G556" i="4" s="1"/>
  <c r="B556" i="4"/>
  <c r="F555" i="4"/>
  <c r="D555" i="4"/>
  <c r="B555" i="4"/>
  <c r="C555" i="4" s="1"/>
  <c r="E555" i="4" s="1"/>
  <c r="G555" i="4" s="1"/>
  <c r="F554" i="4"/>
  <c r="D554" i="4"/>
  <c r="B554" i="4"/>
  <c r="C554" i="4" s="1"/>
  <c r="E554" i="4" s="1"/>
  <c r="G554" i="4" s="1"/>
  <c r="F553" i="4"/>
  <c r="D553" i="4"/>
  <c r="B553" i="4"/>
  <c r="C553" i="4" s="1"/>
  <c r="E553" i="4" s="1"/>
  <c r="G553" i="4" s="1"/>
  <c r="I553" i="4" s="1"/>
  <c r="F552" i="4"/>
  <c r="D552" i="4"/>
  <c r="B552" i="4"/>
  <c r="C552" i="4" s="1"/>
  <c r="E552" i="4" s="1"/>
  <c r="G552" i="4" s="1"/>
  <c r="F551" i="4"/>
  <c r="D551" i="4"/>
  <c r="E551" i="4" s="1"/>
  <c r="G551" i="4" s="1"/>
  <c r="C551" i="4"/>
  <c r="B551" i="4"/>
  <c r="F550" i="4"/>
  <c r="D550" i="4"/>
  <c r="C550" i="4"/>
  <c r="E550" i="4" s="1"/>
  <c r="G550" i="4" s="1"/>
  <c r="I550" i="4" s="1"/>
  <c r="B550" i="4"/>
  <c r="F549" i="4"/>
  <c r="E549" i="4"/>
  <c r="G549" i="4" s="1"/>
  <c r="D549" i="4"/>
  <c r="B549" i="4"/>
  <c r="C549" i="4" s="1"/>
  <c r="F548" i="4"/>
  <c r="D548" i="4"/>
  <c r="B548" i="4"/>
  <c r="C548" i="4" s="1"/>
  <c r="E548" i="4" s="1"/>
  <c r="G548" i="4" s="1"/>
  <c r="I548" i="4" s="1"/>
  <c r="F547" i="4"/>
  <c r="D547" i="4"/>
  <c r="B547" i="4"/>
  <c r="C547" i="4" s="1"/>
  <c r="E547" i="4" s="1"/>
  <c r="G547" i="4" s="1"/>
  <c r="I546" i="4"/>
  <c r="H546" i="4"/>
  <c r="F546" i="4"/>
  <c r="D546" i="4"/>
  <c r="C546" i="4"/>
  <c r="E546" i="4" s="1"/>
  <c r="G546" i="4" s="1"/>
  <c r="B546" i="4"/>
  <c r="F545" i="4"/>
  <c r="D545" i="4"/>
  <c r="C545" i="4"/>
  <c r="E545" i="4" s="1"/>
  <c r="G545" i="4" s="1"/>
  <c r="B545" i="4"/>
  <c r="F544" i="4"/>
  <c r="D544" i="4"/>
  <c r="B544" i="4"/>
  <c r="C544" i="4" s="1"/>
  <c r="E544" i="4" s="1"/>
  <c r="G544" i="4" s="1"/>
  <c r="F543" i="4"/>
  <c r="D543" i="4"/>
  <c r="B543" i="4"/>
  <c r="C543" i="4" s="1"/>
  <c r="E543" i="4" s="1"/>
  <c r="G543" i="4" s="1"/>
  <c r="I543" i="4" s="1"/>
  <c r="F542" i="4"/>
  <c r="D542" i="4"/>
  <c r="B542" i="4"/>
  <c r="C542" i="4" s="1"/>
  <c r="E542" i="4" s="1"/>
  <c r="G542" i="4" s="1"/>
  <c r="F541" i="4"/>
  <c r="D541" i="4"/>
  <c r="C541" i="4"/>
  <c r="E541" i="4" s="1"/>
  <c r="G541" i="4" s="1"/>
  <c r="B541" i="4"/>
  <c r="F540" i="4"/>
  <c r="D540" i="4"/>
  <c r="C540" i="4"/>
  <c r="E540" i="4" s="1"/>
  <c r="G540" i="4" s="1"/>
  <c r="H540" i="4" s="1"/>
  <c r="B540" i="4"/>
  <c r="F539" i="4"/>
  <c r="D539" i="4"/>
  <c r="B539" i="4"/>
  <c r="C539" i="4" s="1"/>
  <c r="E539" i="4" s="1"/>
  <c r="G539" i="4" s="1"/>
  <c r="F538" i="4"/>
  <c r="D538" i="4"/>
  <c r="B538" i="4"/>
  <c r="C538" i="4" s="1"/>
  <c r="E538" i="4" s="1"/>
  <c r="G538" i="4" s="1"/>
  <c r="I538" i="4" s="1"/>
  <c r="F537" i="4"/>
  <c r="D537" i="4"/>
  <c r="B537" i="4"/>
  <c r="C537" i="4" s="1"/>
  <c r="E537" i="4" s="1"/>
  <c r="G537" i="4" s="1"/>
  <c r="F536" i="4"/>
  <c r="E536" i="4"/>
  <c r="G536" i="4" s="1"/>
  <c r="D536" i="4"/>
  <c r="C536" i="4"/>
  <c r="B536" i="4"/>
  <c r="F535" i="4"/>
  <c r="D535" i="4"/>
  <c r="C535" i="4"/>
  <c r="E535" i="4" s="1"/>
  <c r="G535" i="4" s="1"/>
  <c r="I535" i="4" s="1"/>
  <c r="B535" i="4"/>
  <c r="F534" i="4"/>
  <c r="D534" i="4"/>
  <c r="B534" i="4"/>
  <c r="C534" i="4" s="1"/>
  <c r="F533" i="4"/>
  <c r="D533" i="4"/>
  <c r="B533" i="4"/>
  <c r="C533" i="4" s="1"/>
  <c r="E533" i="4" s="1"/>
  <c r="G533" i="4" s="1"/>
  <c r="I533" i="4" s="1"/>
  <c r="G532" i="4"/>
  <c r="F532" i="4"/>
  <c r="D532" i="4"/>
  <c r="B532" i="4"/>
  <c r="C532" i="4" s="1"/>
  <c r="E532" i="4" s="1"/>
  <c r="F531" i="4"/>
  <c r="E531" i="4"/>
  <c r="G531" i="4" s="1"/>
  <c r="D531" i="4"/>
  <c r="C531" i="4"/>
  <c r="B531" i="4"/>
  <c r="F530" i="4"/>
  <c r="D530" i="4"/>
  <c r="C530" i="4"/>
  <c r="E530" i="4" s="1"/>
  <c r="G530" i="4" s="1"/>
  <c r="H530" i="4" s="1"/>
  <c r="B530" i="4"/>
  <c r="F529" i="4"/>
  <c r="D529" i="4"/>
  <c r="B529" i="4"/>
  <c r="C529" i="4" s="1"/>
  <c r="E529" i="4" s="1"/>
  <c r="G529" i="4" s="1"/>
  <c r="F528" i="4"/>
  <c r="D528" i="4"/>
  <c r="E528" i="4" s="1"/>
  <c r="G528" i="4" s="1"/>
  <c r="I528" i="4" s="1"/>
  <c r="B528" i="4"/>
  <c r="C528" i="4" s="1"/>
  <c r="F527" i="4"/>
  <c r="D527" i="4"/>
  <c r="B527" i="4"/>
  <c r="C527" i="4" s="1"/>
  <c r="E527" i="4" s="1"/>
  <c r="G527" i="4" s="1"/>
  <c r="I527" i="4" s="1"/>
  <c r="F526" i="4"/>
  <c r="D526" i="4"/>
  <c r="E526" i="4" s="1"/>
  <c r="G526" i="4" s="1"/>
  <c r="B526" i="4"/>
  <c r="C526" i="4" s="1"/>
  <c r="F525" i="4"/>
  <c r="D525" i="4"/>
  <c r="B525" i="4"/>
  <c r="C525" i="4" s="1"/>
  <c r="E525" i="4" s="1"/>
  <c r="G525" i="4" s="1"/>
  <c r="I525" i="4" s="1"/>
  <c r="F524" i="4"/>
  <c r="D524" i="4"/>
  <c r="B524" i="4"/>
  <c r="C524" i="4" s="1"/>
  <c r="E524" i="4" s="1"/>
  <c r="G524" i="4" s="1"/>
  <c r="F523" i="4"/>
  <c r="D523" i="4"/>
  <c r="B523" i="4"/>
  <c r="C523" i="4" s="1"/>
  <c r="E523" i="4" s="1"/>
  <c r="G523" i="4" s="1"/>
  <c r="I523" i="4" s="1"/>
  <c r="F522" i="4"/>
  <c r="D522" i="4"/>
  <c r="B522" i="4"/>
  <c r="C522" i="4" s="1"/>
  <c r="E522" i="4" s="1"/>
  <c r="G522" i="4" s="1"/>
  <c r="I522" i="4" s="1"/>
  <c r="F521" i="4"/>
  <c r="E521" i="4"/>
  <c r="G521" i="4" s="1"/>
  <c r="D521" i="4"/>
  <c r="B521" i="4"/>
  <c r="C521" i="4" s="1"/>
  <c r="F520" i="4"/>
  <c r="D520" i="4"/>
  <c r="B520" i="4"/>
  <c r="C520" i="4" s="1"/>
  <c r="E520" i="4" s="1"/>
  <c r="G520" i="4" s="1"/>
  <c r="I520" i="4" s="1"/>
  <c r="F519" i="4"/>
  <c r="D519" i="4"/>
  <c r="E519" i="4" s="1"/>
  <c r="G519" i="4" s="1"/>
  <c r="C519" i="4"/>
  <c r="B519" i="4"/>
  <c r="F518" i="4"/>
  <c r="D518" i="4"/>
  <c r="C518" i="4"/>
  <c r="E518" i="4" s="1"/>
  <c r="G518" i="4" s="1"/>
  <c r="I518" i="4" s="1"/>
  <c r="B518" i="4"/>
  <c r="F517" i="4"/>
  <c r="D517" i="4"/>
  <c r="B517" i="4"/>
  <c r="C517" i="4" s="1"/>
  <c r="E517" i="4" s="1"/>
  <c r="G517" i="4" s="1"/>
  <c r="F516" i="4"/>
  <c r="D516" i="4"/>
  <c r="B516" i="4"/>
  <c r="C516" i="4" s="1"/>
  <c r="E516" i="4" s="1"/>
  <c r="G516" i="4" s="1"/>
  <c r="I516" i="4" s="1"/>
  <c r="F515" i="4"/>
  <c r="D515" i="4"/>
  <c r="B515" i="4"/>
  <c r="C515" i="4" s="1"/>
  <c r="E515" i="4" s="1"/>
  <c r="G515" i="4" s="1"/>
  <c r="I515" i="4" s="1"/>
  <c r="F514" i="4"/>
  <c r="D514" i="4"/>
  <c r="B514" i="4"/>
  <c r="C514" i="4" s="1"/>
  <c r="E514" i="4" s="1"/>
  <c r="G514" i="4" s="1"/>
  <c r="F513" i="4"/>
  <c r="E513" i="4"/>
  <c r="G513" i="4" s="1"/>
  <c r="I513" i="4" s="1"/>
  <c r="D513" i="4"/>
  <c r="B513" i="4"/>
  <c r="C513" i="4" s="1"/>
  <c r="F512" i="4"/>
  <c r="D512" i="4"/>
  <c r="B512" i="4"/>
  <c r="C512" i="4" s="1"/>
  <c r="E512" i="4" s="1"/>
  <c r="G512" i="4" s="1"/>
  <c r="F511" i="4"/>
  <c r="D511" i="4"/>
  <c r="C511" i="4"/>
  <c r="E511" i="4" s="1"/>
  <c r="G511" i="4" s="1"/>
  <c r="B511" i="4"/>
  <c r="G510" i="4"/>
  <c r="F510" i="4"/>
  <c r="D510" i="4"/>
  <c r="C510" i="4"/>
  <c r="E510" i="4" s="1"/>
  <c r="B510" i="4"/>
  <c r="F509" i="4"/>
  <c r="D509" i="4"/>
  <c r="B509" i="4"/>
  <c r="C509" i="4" s="1"/>
  <c r="E509" i="4" s="1"/>
  <c r="G509" i="4" s="1"/>
  <c r="F508" i="4"/>
  <c r="D508" i="4"/>
  <c r="B508" i="4"/>
  <c r="C508" i="4" s="1"/>
  <c r="E508" i="4" s="1"/>
  <c r="G508" i="4" s="1"/>
  <c r="G507" i="4"/>
  <c r="I507" i="4" s="1"/>
  <c r="F507" i="4"/>
  <c r="D507" i="4"/>
  <c r="B507" i="4"/>
  <c r="C507" i="4" s="1"/>
  <c r="E507" i="4" s="1"/>
  <c r="F506" i="4"/>
  <c r="D506" i="4"/>
  <c r="B506" i="4"/>
  <c r="C506" i="4" s="1"/>
  <c r="E506" i="4" s="1"/>
  <c r="G506" i="4" s="1"/>
  <c r="I506" i="4" s="1"/>
  <c r="F505" i="4"/>
  <c r="D505" i="4"/>
  <c r="B505" i="4"/>
  <c r="C505" i="4" s="1"/>
  <c r="E505" i="4" s="1"/>
  <c r="G505" i="4" s="1"/>
  <c r="F504" i="4"/>
  <c r="D504" i="4"/>
  <c r="C504" i="4"/>
  <c r="E504" i="4" s="1"/>
  <c r="G504" i="4" s="1"/>
  <c r="B504" i="4"/>
  <c r="F503" i="4"/>
  <c r="D503" i="4"/>
  <c r="B503" i="4"/>
  <c r="C503" i="4" s="1"/>
  <c r="F502" i="4"/>
  <c r="D502" i="4"/>
  <c r="B502" i="4"/>
  <c r="C502" i="4" s="1"/>
  <c r="E502" i="4" s="1"/>
  <c r="G502" i="4" s="1"/>
  <c r="G501" i="4"/>
  <c r="F501" i="4"/>
  <c r="H501" i="4" s="1"/>
  <c r="E501" i="4"/>
  <c r="D501" i="4"/>
  <c r="C501" i="4"/>
  <c r="B501" i="4"/>
  <c r="F500" i="4"/>
  <c r="D500" i="4"/>
  <c r="B500" i="4"/>
  <c r="C500" i="4" s="1"/>
  <c r="F499" i="4"/>
  <c r="D499" i="4"/>
  <c r="B499" i="4"/>
  <c r="C499" i="4" s="1"/>
  <c r="E499" i="4" s="1"/>
  <c r="G499" i="4" s="1"/>
  <c r="F498" i="4"/>
  <c r="D498" i="4"/>
  <c r="C498" i="4"/>
  <c r="B498" i="4"/>
  <c r="F497" i="4"/>
  <c r="D497" i="4"/>
  <c r="B497" i="4"/>
  <c r="C497" i="4" s="1"/>
  <c r="E497" i="4" s="1"/>
  <c r="G497" i="4" s="1"/>
  <c r="H497" i="4" s="1"/>
  <c r="F496" i="4"/>
  <c r="D496" i="4"/>
  <c r="C496" i="4"/>
  <c r="E496" i="4" s="1"/>
  <c r="G496" i="4" s="1"/>
  <c r="B496" i="4"/>
  <c r="F495" i="4"/>
  <c r="D495" i="4"/>
  <c r="C495" i="4"/>
  <c r="E495" i="4" s="1"/>
  <c r="G495" i="4" s="1"/>
  <c r="B495" i="4"/>
  <c r="F494" i="4"/>
  <c r="D494" i="4"/>
  <c r="C494" i="4"/>
  <c r="E494" i="4" s="1"/>
  <c r="G494" i="4" s="1"/>
  <c r="B494" i="4"/>
  <c r="F493" i="4"/>
  <c r="D493" i="4"/>
  <c r="B493" i="4"/>
  <c r="C493" i="4" s="1"/>
  <c r="E493" i="4" s="1"/>
  <c r="G493" i="4" s="1"/>
  <c r="I493" i="4" s="1"/>
  <c r="F492" i="4"/>
  <c r="D492" i="4"/>
  <c r="B492" i="4"/>
  <c r="C492" i="4" s="1"/>
  <c r="G491" i="4"/>
  <c r="F491" i="4"/>
  <c r="D491" i="4"/>
  <c r="B491" i="4"/>
  <c r="C491" i="4" s="1"/>
  <c r="E491" i="4" s="1"/>
  <c r="F490" i="4"/>
  <c r="E490" i="4"/>
  <c r="G490" i="4" s="1"/>
  <c r="D490" i="4"/>
  <c r="B490" i="4"/>
  <c r="C490" i="4" s="1"/>
  <c r="F489" i="4"/>
  <c r="D489" i="4"/>
  <c r="B489" i="4"/>
  <c r="C489" i="4" s="1"/>
  <c r="E489" i="4" s="1"/>
  <c r="G489" i="4" s="1"/>
  <c r="F488" i="4"/>
  <c r="D488" i="4"/>
  <c r="B488" i="4"/>
  <c r="C488" i="4" s="1"/>
  <c r="E488" i="4" s="1"/>
  <c r="G488" i="4" s="1"/>
  <c r="I488" i="4" s="1"/>
  <c r="F487" i="4"/>
  <c r="D487" i="4"/>
  <c r="B487" i="4"/>
  <c r="C487" i="4" s="1"/>
  <c r="E487" i="4" s="1"/>
  <c r="G487" i="4" s="1"/>
  <c r="F486" i="4"/>
  <c r="D486" i="4"/>
  <c r="C486" i="4"/>
  <c r="B486" i="4"/>
  <c r="F485" i="4"/>
  <c r="D485" i="4"/>
  <c r="B485" i="4"/>
  <c r="C485" i="4" s="1"/>
  <c r="E485" i="4" s="1"/>
  <c r="G485" i="4" s="1"/>
  <c r="F484" i="4"/>
  <c r="D484" i="4"/>
  <c r="B484" i="4"/>
  <c r="C484" i="4" s="1"/>
  <c r="E484" i="4" s="1"/>
  <c r="G484" i="4" s="1"/>
  <c r="F483" i="4"/>
  <c r="D483" i="4"/>
  <c r="B483" i="4"/>
  <c r="C483" i="4" s="1"/>
  <c r="E483" i="4" s="1"/>
  <c r="G483" i="4" s="1"/>
  <c r="I483" i="4" s="1"/>
  <c r="F482" i="4"/>
  <c r="D482" i="4"/>
  <c r="B482" i="4"/>
  <c r="C482" i="4" s="1"/>
  <c r="E482" i="4" s="1"/>
  <c r="G482" i="4" s="1"/>
  <c r="F481" i="4"/>
  <c r="D481" i="4"/>
  <c r="C481" i="4"/>
  <c r="E481" i="4" s="1"/>
  <c r="G481" i="4" s="1"/>
  <c r="I481" i="4" s="1"/>
  <c r="B481" i="4"/>
  <c r="F480" i="4"/>
  <c r="D480" i="4"/>
  <c r="B480" i="4"/>
  <c r="C480" i="4" s="1"/>
  <c r="E480" i="4" s="1"/>
  <c r="G480" i="4" s="1"/>
  <c r="F479" i="4"/>
  <c r="D479" i="4"/>
  <c r="B479" i="4"/>
  <c r="C479" i="4" s="1"/>
  <c r="E479" i="4" s="1"/>
  <c r="G479" i="4" s="1"/>
  <c r="F478" i="4"/>
  <c r="D478" i="4"/>
  <c r="C478" i="4"/>
  <c r="E478" i="4" s="1"/>
  <c r="G478" i="4" s="1"/>
  <c r="I478" i="4" s="1"/>
  <c r="B478" i="4"/>
  <c r="F477" i="4"/>
  <c r="D477" i="4"/>
  <c r="B477" i="4"/>
  <c r="C477" i="4" s="1"/>
  <c r="E477" i="4" s="1"/>
  <c r="G477" i="4" s="1"/>
  <c r="F476" i="4"/>
  <c r="D476" i="4"/>
  <c r="B476" i="4"/>
  <c r="C476" i="4" s="1"/>
  <c r="E476" i="4" s="1"/>
  <c r="G476" i="4" s="1"/>
  <c r="F475" i="4"/>
  <c r="D475" i="4"/>
  <c r="B475" i="4"/>
  <c r="C475" i="4" s="1"/>
  <c r="E475" i="4" s="1"/>
  <c r="G475" i="4" s="1"/>
  <c r="G474" i="4"/>
  <c r="F474" i="4"/>
  <c r="D474" i="4"/>
  <c r="B474" i="4"/>
  <c r="C474" i="4" s="1"/>
  <c r="E474" i="4" s="1"/>
  <c r="F473" i="4"/>
  <c r="D473" i="4"/>
  <c r="C473" i="4"/>
  <c r="E473" i="4" s="1"/>
  <c r="G473" i="4" s="1"/>
  <c r="I473" i="4" s="1"/>
  <c r="B473" i="4"/>
  <c r="F472" i="4"/>
  <c r="D472" i="4"/>
  <c r="B472" i="4"/>
  <c r="C472" i="4" s="1"/>
  <c r="E472" i="4" s="1"/>
  <c r="G472" i="4" s="1"/>
  <c r="H472" i="4" s="1"/>
  <c r="F471" i="4"/>
  <c r="D471" i="4"/>
  <c r="B471" i="4"/>
  <c r="C471" i="4" s="1"/>
  <c r="E471" i="4" s="1"/>
  <c r="G471" i="4" s="1"/>
  <c r="F470" i="4"/>
  <c r="D470" i="4"/>
  <c r="B470" i="4"/>
  <c r="C470" i="4" s="1"/>
  <c r="E470" i="4" s="1"/>
  <c r="G470" i="4" s="1"/>
  <c r="F469" i="4"/>
  <c r="D469" i="4"/>
  <c r="B469" i="4"/>
  <c r="C469" i="4" s="1"/>
  <c r="E469" i="4" s="1"/>
  <c r="G469" i="4" s="1"/>
  <c r="F468" i="4"/>
  <c r="D468" i="4"/>
  <c r="B468" i="4"/>
  <c r="C468" i="4" s="1"/>
  <c r="E468" i="4" s="1"/>
  <c r="G468" i="4" s="1"/>
  <c r="I468" i="4" s="1"/>
  <c r="G467" i="4"/>
  <c r="F467" i="4"/>
  <c r="D467" i="4"/>
  <c r="C467" i="4"/>
  <c r="E467" i="4" s="1"/>
  <c r="B467" i="4"/>
  <c r="F466" i="4"/>
  <c r="D466" i="4"/>
  <c r="B466" i="4"/>
  <c r="C466" i="4" s="1"/>
  <c r="E466" i="4" s="1"/>
  <c r="G466" i="4" s="1"/>
  <c r="F465" i="4"/>
  <c r="D465" i="4"/>
  <c r="B465" i="4"/>
  <c r="C465" i="4" s="1"/>
  <c r="E465" i="4" s="1"/>
  <c r="G465" i="4" s="1"/>
  <c r="I465" i="4" s="1"/>
  <c r="F464" i="4"/>
  <c r="D464" i="4"/>
  <c r="B464" i="4"/>
  <c r="C464" i="4" s="1"/>
  <c r="E464" i="4" s="1"/>
  <c r="G464" i="4" s="1"/>
  <c r="F463" i="4"/>
  <c r="D463" i="4"/>
  <c r="B463" i="4"/>
  <c r="C463" i="4" s="1"/>
  <c r="E463" i="4" s="1"/>
  <c r="G463" i="4" s="1"/>
  <c r="I463" i="4" s="1"/>
  <c r="F462" i="4"/>
  <c r="D462" i="4"/>
  <c r="B462" i="4"/>
  <c r="C462" i="4" s="1"/>
  <c r="E462" i="4" s="1"/>
  <c r="G462" i="4" s="1"/>
  <c r="F461" i="4"/>
  <c r="D461" i="4"/>
  <c r="B461" i="4"/>
  <c r="C461" i="4" s="1"/>
  <c r="E461" i="4" s="1"/>
  <c r="G461" i="4" s="1"/>
  <c r="F460" i="4"/>
  <c r="D460" i="4"/>
  <c r="B460" i="4"/>
  <c r="C460" i="4" s="1"/>
  <c r="E460" i="4" s="1"/>
  <c r="G460" i="4" s="1"/>
  <c r="F459" i="4"/>
  <c r="D459" i="4"/>
  <c r="B459" i="4"/>
  <c r="C459" i="4" s="1"/>
  <c r="E459" i="4" s="1"/>
  <c r="G459" i="4" s="1"/>
  <c r="I459" i="4" s="1"/>
  <c r="F458" i="4"/>
  <c r="D458" i="4"/>
  <c r="B458" i="4"/>
  <c r="C458" i="4" s="1"/>
  <c r="E458" i="4" s="1"/>
  <c r="G458" i="4" s="1"/>
  <c r="F457" i="4"/>
  <c r="D457" i="4"/>
  <c r="B457" i="4"/>
  <c r="C457" i="4" s="1"/>
  <c r="E457" i="4" s="1"/>
  <c r="G457" i="4" s="1"/>
  <c r="I457" i="4" s="1"/>
  <c r="F456" i="4"/>
  <c r="D456" i="4"/>
  <c r="B456" i="4"/>
  <c r="C456" i="4" s="1"/>
  <c r="E456" i="4" s="1"/>
  <c r="G456" i="4" s="1"/>
  <c r="F455" i="4"/>
  <c r="D455" i="4"/>
  <c r="B455" i="4"/>
  <c r="C455" i="4" s="1"/>
  <c r="E455" i="4" s="1"/>
  <c r="G455" i="4" s="1"/>
  <c r="F454" i="4"/>
  <c r="D454" i="4"/>
  <c r="C454" i="4"/>
  <c r="E454" i="4" s="1"/>
  <c r="G454" i="4" s="1"/>
  <c r="B454" i="4"/>
  <c r="F453" i="4"/>
  <c r="D453" i="4"/>
  <c r="C453" i="4"/>
  <c r="E453" i="4" s="1"/>
  <c r="G453" i="4" s="1"/>
  <c r="I453" i="4" s="1"/>
  <c r="B453" i="4"/>
  <c r="F452" i="4"/>
  <c r="D452" i="4"/>
  <c r="B452" i="4"/>
  <c r="C452" i="4" s="1"/>
  <c r="E452" i="4" s="1"/>
  <c r="G452" i="4" s="1"/>
  <c r="F451" i="4"/>
  <c r="D451" i="4"/>
  <c r="C451" i="4"/>
  <c r="E451" i="4" s="1"/>
  <c r="G451" i="4" s="1"/>
  <c r="I451" i="4" s="1"/>
  <c r="B451" i="4"/>
  <c r="F450" i="4"/>
  <c r="D450" i="4"/>
  <c r="B450" i="4"/>
  <c r="C450" i="4" s="1"/>
  <c r="E450" i="4" s="1"/>
  <c r="G450" i="4" s="1"/>
  <c r="F449" i="4"/>
  <c r="E449" i="4"/>
  <c r="G449" i="4" s="1"/>
  <c r="D449" i="4"/>
  <c r="B449" i="4"/>
  <c r="C449" i="4" s="1"/>
  <c r="F448" i="4"/>
  <c r="D448" i="4"/>
  <c r="B448" i="4"/>
  <c r="C448" i="4" s="1"/>
  <c r="E448" i="4" s="1"/>
  <c r="G448" i="4" s="1"/>
  <c r="F447" i="4"/>
  <c r="D447" i="4"/>
  <c r="B447" i="4"/>
  <c r="C447" i="4" s="1"/>
  <c r="E447" i="4" s="1"/>
  <c r="G447" i="4" s="1"/>
  <c r="H447" i="4" s="1"/>
  <c r="F446" i="4"/>
  <c r="D446" i="4"/>
  <c r="C446" i="4"/>
  <c r="E446" i="4" s="1"/>
  <c r="G446" i="4" s="1"/>
  <c r="B446" i="4"/>
  <c r="F445" i="4"/>
  <c r="I445" i="4" s="1"/>
  <c r="E445" i="4"/>
  <c r="G445" i="4" s="1"/>
  <c r="D445" i="4"/>
  <c r="B445" i="4"/>
  <c r="C445" i="4" s="1"/>
  <c r="F444" i="4"/>
  <c r="D444" i="4"/>
  <c r="B444" i="4"/>
  <c r="C444" i="4" s="1"/>
  <c r="E444" i="4" s="1"/>
  <c r="G444" i="4" s="1"/>
  <c r="F443" i="4"/>
  <c r="D443" i="4"/>
  <c r="B443" i="4"/>
  <c r="C443" i="4" s="1"/>
  <c r="E443" i="4" s="1"/>
  <c r="G443" i="4" s="1"/>
  <c r="I443" i="4" s="1"/>
  <c r="F442" i="4"/>
  <c r="D442" i="4"/>
  <c r="C442" i="4"/>
  <c r="E442" i="4" s="1"/>
  <c r="G442" i="4" s="1"/>
  <c r="B442" i="4"/>
  <c r="F441" i="4"/>
  <c r="D441" i="4"/>
  <c r="C441" i="4"/>
  <c r="E441" i="4" s="1"/>
  <c r="G441" i="4" s="1"/>
  <c r="I441" i="4" s="1"/>
  <c r="B441" i="4"/>
  <c r="G440" i="4"/>
  <c r="I440" i="4" s="1"/>
  <c r="F440" i="4"/>
  <c r="D440" i="4"/>
  <c r="C440" i="4"/>
  <c r="E440" i="4" s="1"/>
  <c r="B440" i="4"/>
  <c r="F439" i="4"/>
  <c r="D439" i="4"/>
  <c r="B439" i="4"/>
  <c r="C439" i="4" s="1"/>
  <c r="E439" i="4" s="1"/>
  <c r="G439" i="4" s="1"/>
  <c r="F438" i="4"/>
  <c r="D438" i="4"/>
  <c r="B438" i="4"/>
  <c r="C438" i="4" s="1"/>
  <c r="F437" i="4"/>
  <c r="D437" i="4"/>
  <c r="B437" i="4"/>
  <c r="C437" i="4" s="1"/>
  <c r="E437" i="4" s="1"/>
  <c r="G437" i="4" s="1"/>
  <c r="F436" i="4"/>
  <c r="D436" i="4"/>
  <c r="B436" i="4"/>
  <c r="C436" i="4" s="1"/>
  <c r="E436" i="4" s="1"/>
  <c r="G436" i="4" s="1"/>
  <c r="F435" i="4"/>
  <c r="D435" i="4"/>
  <c r="E435" i="4" s="1"/>
  <c r="G435" i="4" s="1"/>
  <c r="B435" i="4"/>
  <c r="C435" i="4" s="1"/>
  <c r="F434" i="4"/>
  <c r="E434" i="4"/>
  <c r="G434" i="4" s="1"/>
  <c r="D434" i="4"/>
  <c r="B434" i="4"/>
  <c r="C434" i="4" s="1"/>
  <c r="F433" i="4"/>
  <c r="D433" i="4"/>
  <c r="B433" i="4"/>
  <c r="C433" i="4" s="1"/>
  <c r="I432" i="4"/>
  <c r="F432" i="4"/>
  <c r="H432" i="4" s="1"/>
  <c r="E432" i="4"/>
  <c r="G432" i="4" s="1"/>
  <c r="D432" i="4"/>
  <c r="C432" i="4"/>
  <c r="B432" i="4"/>
  <c r="F431" i="4"/>
  <c r="D431" i="4"/>
  <c r="B431" i="4"/>
  <c r="C431" i="4" s="1"/>
  <c r="E431" i="4" s="1"/>
  <c r="G431" i="4" s="1"/>
  <c r="F430" i="4"/>
  <c r="D430" i="4"/>
  <c r="C430" i="4"/>
  <c r="E430" i="4" s="1"/>
  <c r="G430" i="4" s="1"/>
  <c r="B430" i="4"/>
  <c r="F429" i="4"/>
  <c r="D429" i="4"/>
  <c r="B429" i="4"/>
  <c r="C429" i="4" s="1"/>
  <c r="E429" i="4" s="1"/>
  <c r="G429" i="4" s="1"/>
  <c r="F428" i="4"/>
  <c r="D428" i="4"/>
  <c r="B428" i="4"/>
  <c r="C428" i="4" s="1"/>
  <c r="E428" i="4" s="1"/>
  <c r="G428" i="4" s="1"/>
  <c r="I428" i="4" s="1"/>
  <c r="F427" i="4"/>
  <c r="D427" i="4"/>
  <c r="B427" i="4"/>
  <c r="C427" i="4" s="1"/>
  <c r="E427" i="4" s="1"/>
  <c r="G427" i="4" s="1"/>
  <c r="F426" i="4"/>
  <c r="I426" i="4" s="1"/>
  <c r="D426" i="4"/>
  <c r="C426" i="4"/>
  <c r="E426" i="4" s="1"/>
  <c r="G426" i="4" s="1"/>
  <c r="B426" i="4"/>
  <c r="G425" i="4"/>
  <c r="F425" i="4"/>
  <c r="D425" i="4"/>
  <c r="C425" i="4"/>
  <c r="E425" i="4" s="1"/>
  <c r="B425" i="4"/>
  <c r="F424" i="4"/>
  <c r="D424" i="4"/>
  <c r="B424" i="4"/>
  <c r="C424" i="4" s="1"/>
  <c r="E424" i="4" s="1"/>
  <c r="G424" i="4" s="1"/>
  <c r="I424" i="4" s="1"/>
  <c r="F423" i="4"/>
  <c r="D423" i="4"/>
  <c r="B423" i="4"/>
  <c r="C423" i="4" s="1"/>
  <c r="E423" i="4" s="1"/>
  <c r="G423" i="4" s="1"/>
  <c r="I423" i="4" s="1"/>
  <c r="F422" i="4"/>
  <c r="D422" i="4"/>
  <c r="B422" i="4"/>
  <c r="C422" i="4" s="1"/>
  <c r="E422" i="4" s="1"/>
  <c r="G422" i="4" s="1"/>
  <c r="F421" i="4"/>
  <c r="D421" i="4"/>
  <c r="B421" i="4"/>
  <c r="C421" i="4" s="1"/>
  <c r="E421" i="4" s="1"/>
  <c r="G421" i="4" s="1"/>
  <c r="I421" i="4" s="1"/>
  <c r="F420" i="4"/>
  <c r="D420" i="4"/>
  <c r="C420" i="4"/>
  <c r="E420" i="4" s="1"/>
  <c r="G420" i="4" s="1"/>
  <c r="B420" i="4"/>
  <c r="F419" i="4"/>
  <c r="D419" i="4"/>
  <c r="B419" i="4"/>
  <c r="C419" i="4" s="1"/>
  <c r="E419" i="4" s="1"/>
  <c r="G419" i="4" s="1"/>
  <c r="F418" i="4"/>
  <c r="D418" i="4"/>
  <c r="B418" i="4"/>
  <c r="C418" i="4" s="1"/>
  <c r="E418" i="4" s="1"/>
  <c r="G418" i="4" s="1"/>
  <c r="I418" i="4" s="1"/>
  <c r="F417" i="4"/>
  <c r="D417" i="4"/>
  <c r="C417" i="4"/>
  <c r="E417" i="4" s="1"/>
  <c r="G417" i="4" s="1"/>
  <c r="B417" i="4"/>
  <c r="F416" i="4"/>
  <c r="D416" i="4"/>
  <c r="B416" i="4"/>
  <c r="C416" i="4" s="1"/>
  <c r="E416" i="4" s="1"/>
  <c r="G416" i="4" s="1"/>
  <c r="F415" i="4"/>
  <c r="D415" i="4"/>
  <c r="B415" i="4"/>
  <c r="C415" i="4" s="1"/>
  <c r="E415" i="4" s="1"/>
  <c r="G415" i="4" s="1"/>
  <c r="I415" i="4" s="1"/>
  <c r="F414" i="4"/>
  <c r="D414" i="4"/>
  <c r="B414" i="4"/>
  <c r="C414" i="4" s="1"/>
  <c r="E414" i="4" s="1"/>
  <c r="G414" i="4" s="1"/>
  <c r="F413" i="4"/>
  <c r="E413" i="4"/>
  <c r="G413" i="4" s="1"/>
  <c r="I413" i="4" s="1"/>
  <c r="D413" i="4"/>
  <c r="C413" i="4"/>
  <c r="B413" i="4"/>
  <c r="F412" i="4"/>
  <c r="D412" i="4"/>
  <c r="C412" i="4"/>
  <c r="E412" i="4" s="1"/>
  <c r="G412" i="4" s="1"/>
  <c r="B412" i="4"/>
  <c r="F411" i="4"/>
  <c r="D411" i="4"/>
  <c r="C411" i="4"/>
  <c r="E411" i="4" s="1"/>
  <c r="G411" i="4" s="1"/>
  <c r="I411" i="4" s="1"/>
  <c r="B411" i="4"/>
  <c r="F410" i="4"/>
  <c r="D410" i="4"/>
  <c r="B410" i="4"/>
  <c r="C410" i="4" s="1"/>
  <c r="E410" i="4" s="1"/>
  <c r="G410" i="4" s="1"/>
  <c r="I410" i="4" s="1"/>
  <c r="F409" i="4"/>
  <c r="D409" i="4"/>
  <c r="B409" i="4"/>
  <c r="C409" i="4" s="1"/>
  <c r="E409" i="4" s="1"/>
  <c r="G409" i="4" s="1"/>
  <c r="F408" i="4"/>
  <c r="D408" i="4"/>
  <c r="B408" i="4"/>
  <c r="C408" i="4" s="1"/>
  <c r="E408" i="4" s="1"/>
  <c r="G408" i="4" s="1"/>
  <c r="I408" i="4" s="1"/>
  <c r="F407" i="4"/>
  <c r="D407" i="4"/>
  <c r="B407" i="4"/>
  <c r="C407" i="4" s="1"/>
  <c r="G406" i="4"/>
  <c r="F406" i="4"/>
  <c r="I406" i="4" s="1"/>
  <c r="D406" i="4"/>
  <c r="B406" i="4"/>
  <c r="C406" i="4" s="1"/>
  <c r="E406" i="4" s="1"/>
  <c r="F405" i="4"/>
  <c r="D405" i="4"/>
  <c r="C405" i="4"/>
  <c r="B405" i="4"/>
  <c r="F404" i="4"/>
  <c r="D404" i="4"/>
  <c r="B404" i="4"/>
  <c r="C404" i="4" s="1"/>
  <c r="E404" i="4" s="1"/>
  <c r="G404" i="4" s="1"/>
  <c r="F403" i="4"/>
  <c r="D403" i="4"/>
  <c r="B403" i="4"/>
  <c r="C403" i="4" s="1"/>
  <c r="E403" i="4" s="1"/>
  <c r="G403" i="4" s="1"/>
  <c r="I403" i="4" s="1"/>
  <c r="F402" i="4"/>
  <c r="D402" i="4"/>
  <c r="B402" i="4"/>
  <c r="C402" i="4" s="1"/>
  <c r="E402" i="4" s="1"/>
  <c r="G402" i="4" s="1"/>
  <c r="G401" i="4"/>
  <c r="F401" i="4"/>
  <c r="E401" i="4"/>
  <c r="D401" i="4"/>
  <c r="C401" i="4"/>
  <c r="B401" i="4"/>
  <c r="F400" i="4"/>
  <c r="D400" i="4"/>
  <c r="B400" i="4"/>
  <c r="C400" i="4" s="1"/>
  <c r="E400" i="4" s="1"/>
  <c r="G400" i="4" s="1"/>
  <c r="F399" i="4"/>
  <c r="D399" i="4"/>
  <c r="B399" i="4"/>
  <c r="C399" i="4" s="1"/>
  <c r="F398" i="4"/>
  <c r="D398" i="4"/>
  <c r="B398" i="4"/>
  <c r="C398" i="4" s="1"/>
  <c r="E398" i="4" s="1"/>
  <c r="G398" i="4" s="1"/>
  <c r="F397" i="4"/>
  <c r="D397" i="4"/>
  <c r="B397" i="4"/>
  <c r="C397" i="4" s="1"/>
  <c r="E397" i="4" s="1"/>
  <c r="G397" i="4" s="1"/>
  <c r="I396" i="4"/>
  <c r="H396" i="4"/>
  <c r="G396" i="4"/>
  <c r="F396" i="4"/>
  <c r="D396" i="4"/>
  <c r="B396" i="4"/>
  <c r="C396" i="4" s="1"/>
  <c r="E396" i="4" s="1"/>
  <c r="F395" i="4"/>
  <c r="D395" i="4"/>
  <c r="B395" i="4"/>
  <c r="C395" i="4" s="1"/>
  <c r="E395" i="4" s="1"/>
  <c r="G395" i="4" s="1"/>
  <c r="F394" i="4"/>
  <c r="D394" i="4"/>
  <c r="C394" i="4"/>
  <c r="E394" i="4" s="1"/>
  <c r="G394" i="4" s="1"/>
  <c r="B394" i="4"/>
  <c r="F393" i="4"/>
  <c r="D393" i="4"/>
  <c r="C393" i="4"/>
  <c r="E393" i="4" s="1"/>
  <c r="G393" i="4" s="1"/>
  <c r="I393" i="4" s="1"/>
  <c r="B393" i="4"/>
  <c r="F392" i="4"/>
  <c r="D392" i="4"/>
  <c r="B392" i="4"/>
  <c r="C392" i="4" s="1"/>
  <c r="F391" i="4"/>
  <c r="D391" i="4"/>
  <c r="B391" i="4"/>
  <c r="C391" i="4" s="1"/>
  <c r="E391" i="4" s="1"/>
  <c r="G391" i="4" s="1"/>
  <c r="F390" i="4"/>
  <c r="D390" i="4"/>
  <c r="C390" i="4"/>
  <c r="E390" i="4" s="1"/>
  <c r="G390" i="4" s="1"/>
  <c r="H390" i="4" s="1"/>
  <c r="B390" i="4"/>
  <c r="F389" i="4"/>
  <c r="D389" i="4"/>
  <c r="B389" i="4"/>
  <c r="C389" i="4" s="1"/>
  <c r="E389" i="4" s="1"/>
  <c r="G389" i="4" s="1"/>
  <c r="F388" i="4"/>
  <c r="D388" i="4"/>
  <c r="B388" i="4"/>
  <c r="C388" i="4" s="1"/>
  <c r="F387" i="4"/>
  <c r="E387" i="4"/>
  <c r="G387" i="4" s="1"/>
  <c r="D387" i="4"/>
  <c r="B387" i="4"/>
  <c r="C387" i="4" s="1"/>
  <c r="F386" i="4"/>
  <c r="D386" i="4"/>
  <c r="B386" i="4"/>
  <c r="C386" i="4" s="1"/>
  <c r="E386" i="4" s="1"/>
  <c r="G386" i="4" s="1"/>
  <c r="H386" i="4" s="1"/>
  <c r="F385" i="4"/>
  <c r="D385" i="4"/>
  <c r="B385" i="4"/>
  <c r="C385" i="4" s="1"/>
  <c r="E385" i="4" s="1"/>
  <c r="G385" i="4" s="1"/>
  <c r="F384" i="4"/>
  <c r="D384" i="4"/>
  <c r="B384" i="4"/>
  <c r="C384" i="4" s="1"/>
  <c r="F383" i="4"/>
  <c r="D383" i="4"/>
  <c r="B383" i="4"/>
  <c r="C383" i="4" s="1"/>
  <c r="E383" i="4" s="1"/>
  <c r="G383" i="4" s="1"/>
  <c r="I383" i="4" s="1"/>
  <c r="F382" i="4"/>
  <c r="D382" i="4"/>
  <c r="C382" i="4"/>
  <c r="E382" i="4" s="1"/>
  <c r="G382" i="4" s="1"/>
  <c r="B382" i="4"/>
  <c r="F381" i="4"/>
  <c r="D381" i="4"/>
  <c r="B381" i="4"/>
  <c r="C381" i="4" s="1"/>
  <c r="E381" i="4" s="1"/>
  <c r="G381" i="4" s="1"/>
  <c r="I381" i="4" s="1"/>
  <c r="F380" i="4"/>
  <c r="D380" i="4"/>
  <c r="C380" i="4"/>
  <c r="E380" i="4" s="1"/>
  <c r="G380" i="4" s="1"/>
  <c r="B380" i="4"/>
  <c r="F379" i="4"/>
  <c r="D379" i="4"/>
  <c r="B379" i="4"/>
  <c r="C379" i="4" s="1"/>
  <c r="E379" i="4" s="1"/>
  <c r="G379" i="4" s="1"/>
  <c r="F378" i="4"/>
  <c r="D378" i="4"/>
  <c r="B378" i="4"/>
  <c r="C378" i="4" s="1"/>
  <c r="E378" i="4" s="1"/>
  <c r="G378" i="4" s="1"/>
  <c r="I378" i="4" s="1"/>
  <c r="F377" i="4"/>
  <c r="D377" i="4"/>
  <c r="B377" i="4"/>
  <c r="C377" i="4" s="1"/>
  <c r="E377" i="4" s="1"/>
  <c r="G377" i="4" s="1"/>
  <c r="F376" i="4"/>
  <c r="E376" i="4"/>
  <c r="G376" i="4" s="1"/>
  <c r="I376" i="4" s="1"/>
  <c r="D376" i="4"/>
  <c r="B376" i="4"/>
  <c r="C376" i="4" s="1"/>
  <c r="F375" i="4"/>
  <c r="D375" i="4"/>
  <c r="B375" i="4"/>
  <c r="C375" i="4" s="1"/>
  <c r="E375" i="4" s="1"/>
  <c r="G375" i="4" s="1"/>
  <c r="I375" i="4" s="1"/>
  <c r="F374" i="4"/>
  <c r="E374" i="4"/>
  <c r="G374" i="4" s="1"/>
  <c r="D374" i="4"/>
  <c r="B374" i="4"/>
  <c r="C374" i="4" s="1"/>
  <c r="F373" i="4"/>
  <c r="D373" i="4"/>
  <c r="B373" i="4"/>
  <c r="C373" i="4" s="1"/>
  <c r="E373" i="4" s="1"/>
  <c r="G373" i="4" s="1"/>
  <c r="F372" i="4"/>
  <c r="D372" i="4"/>
  <c r="B372" i="4"/>
  <c r="C372" i="4" s="1"/>
  <c r="E372" i="4" s="1"/>
  <c r="G372" i="4" s="1"/>
  <c r="F371" i="4"/>
  <c r="D371" i="4"/>
  <c r="C371" i="4"/>
  <c r="E371" i="4" s="1"/>
  <c r="G371" i="4" s="1"/>
  <c r="B371" i="4"/>
  <c r="F370" i="4"/>
  <c r="D370" i="4"/>
  <c r="B370" i="4"/>
  <c r="C370" i="4" s="1"/>
  <c r="E370" i="4" s="1"/>
  <c r="G370" i="4" s="1"/>
  <c r="F369" i="4"/>
  <c r="D369" i="4"/>
  <c r="B369" i="4"/>
  <c r="C369" i="4" s="1"/>
  <c r="E369" i="4" s="1"/>
  <c r="G369" i="4" s="1"/>
  <c r="F368" i="4"/>
  <c r="D368" i="4"/>
  <c r="B368" i="4"/>
  <c r="C368" i="4" s="1"/>
  <c r="E368" i="4" s="1"/>
  <c r="G368" i="4" s="1"/>
  <c r="I368" i="4" s="1"/>
  <c r="F367" i="4"/>
  <c r="D367" i="4"/>
  <c r="B367" i="4"/>
  <c r="C367" i="4" s="1"/>
  <c r="E367" i="4" s="1"/>
  <c r="G367" i="4" s="1"/>
  <c r="F366" i="4"/>
  <c r="D366" i="4"/>
  <c r="C366" i="4"/>
  <c r="E366" i="4" s="1"/>
  <c r="G366" i="4" s="1"/>
  <c r="B366" i="4"/>
  <c r="F365" i="4"/>
  <c r="D365" i="4"/>
  <c r="B365" i="4"/>
  <c r="C365" i="4" s="1"/>
  <c r="E365" i="4" s="1"/>
  <c r="G365" i="4" s="1"/>
  <c r="F364" i="4"/>
  <c r="D364" i="4"/>
  <c r="B364" i="4"/>
  <c r="C364" i="4" s="1"/>
  <c r="E364" i="4" s="1"/>
  <c r="G364" i="4" s="1"/>
  <c r="F363" i="4"/>
  <c r="D363" i="4"/>
  <c r="B363" i="4"/>
  <c r="C363" i="4" s="1"/>
  <c r="F362" i="4"/>
  <c r="D362" i="4"/>
  <c r="B362" i="4"/>
  <c r="C362" i="4" s="1"/>
  <c r="E362" i="4" s="1"/>
  <c r="G362" i="4" s="1"/>
  <c r="F361" i="4"/>
  <c r="E361" i="4"/>
  <c r="G361" i="4" s="1"/>
  <c r="I361" i="4" s="1"/>
  <c r="D361" i="4"/>
  <c r="B361" i="4"/>
  <c r="C361" i="4" s="1"/>
  <c r="F360" i="4"/>
  <c r="E360" i="4"/>
  <c r="G360" i="4" s="1"/>
  <c r="D360" i="4"/>
  <c r="C360" i="4"/>
  <c r="B360" i="4"/>
  <c r="F359" i="4"/>
  <c r="D359" i="4"/>
  <c r="B359" i="4"/>
  <c r="C359" i="4" s="1"/>
  <c r="E359" i="4" s="1"/>
  <c r="G359" i="4" s="1"/>
  <c r="F358" i="4"/>
  <c r="D358" i="4"/>
  <c r="B358" i="4"/>
  <c r="C358" i="4" s="1"/>
  <c r="E358" i="4" s="1"/>
  <c r="G358" i="4" s="1"/>
  <c r="F357" i="4"/>
  <c r="D357" i="4"/>
  <c r="C357" i="4"/>
  <c r="E357" i="4" s="1"/>
  <c r="G357" i="4" s="1"/>
  <c r="B357" i="4"/>
  <c r="F356" i="4"/>
  <c r="D356" i="4"/>
  <c r="B356" i="4"/>
  <c r="C356" i="4" s="1"/>
  <c r="E356" i="4" s="1"/>
  <c r="G356" i="4" s="1"/>
  <c r="F355" i="4"/>
  <c r="E355" i="4"/>
  <c r="G355" i="4" s="1"/>
  <c r="D355" i="4"/>
  <c r="B355" i="4"/>
  <c r="C355" i="4" s="1"/>
  <c r="F354" i="4"/>
  <c r="D354" i="4"/>
  <c r="B354" i="4"/>
  <c r="C354" i="4" s="1"/>
  <c r="E354" i="4" s="1"/>
  <c r="G354" i="4" s="1"/>
  <c r="F353" i="4"/>
  <c r="D353" i="4"/>
  <c r="B353" i="4"/>
  <c r="C353" i="4" s="1"/>
  <c r="E353" i="4" s="1"/>
  <c r="G353" i="4" s="1"/>
  <c r="I353" i="4" s="1"/>
  <c r="F352" i="4"/>
  <c r="D352" i="4"/>
  <c r="B352" i="4"/>
  <c r="C352" i="4" s="1"/>
  <c r="E352" i="4" s="1"/>
  <c r="G352" i="4" s="1"/>
  <c r="F351" i="4"/>
  <c r="D351" i="4"/>
  <c r="C351" i="4"/>
  <c r="E351" i="4" s="1"/>
  <c r="G351" i="4" s="1"/>
  <c r="B351" i="4"/>
  <c r="F350" i="4"/>
  <c r="E350" i="4"/>
  <c r="G350" i="4" s="1"/>
  <c r="H350" i="4" s="1"/>
  <c r="D350" i="4"/>
  <c r="B350" i="4"/>
  <c r="C350" i="4" s="1"/>
  <c r="F349" i="4"/>
  <c r="D349" i="4"/>
  <c r="B349" i="4"/>
  <c r="C349" i="4" s="1"/>
  <c r="E349" i="4" s="1"/>
  <c r="G349" i="4" s="1"/>
  <c r="F348" i="4"/>
  <c r="D348" i="4"/>
  <c r="B348" i="4"/>
  <c r="C348" i="4" s="1"/>
  <c r="E348" i="4" s="1"/>
  <c r="G348" i="4" s="1"/>
  <c r="I348" i="4" s="1"/>
  <c r="F347" i="4"/>
  <c r="D347" i="4"/>
  <c r="B347" i="4"/>
  <c r="C347" i="4" s="1"/>
  <c r="E347" i="4" s="1"/>
  <c r="G347" i="4" s="1"/>
  <c r="F346" i="4"/>
  <c r="D346" i="4"/>
  <c r="B346" i="4"/>
  <c r="C346" i="4" s="1"/>
  <c r="E346" i="4" s="1"/>
  <c r="G346" i="4" s="1"/>
  <c r="F345" i="4"/>
  <c r="D345" i="4"/>
  <c r="B345" i="4"/>
  <c r="C345" i="4" s="1"/>
  <c r="E345" i="4" s="1"/>
  <c r="G345" i="4" s="1"/>
  <c r="F344" i="4"/>
  <c r="D344" i="4"/>
  <c r="B344" i="4"/>
  <c r="C344" i="4" s="1"/>
  <c r="E344" i="4" s="1"/>
  <c r="G344" i="4" s="1"/>
  <c r="I344" i="4" s="1"/>
  <c r="F343" i="4"/>
  <c r="D343" i="4"/>
  <c r="B343" i="4"/>
  <c r="C343" i="4" s="1"/>
  <c r="E343" i="4" s="1"/>
  <c r="G343" i="4" s="1"/>
  <c r="I343" i="4" s="1"/>
  <c r="F342" i="4"/>
  <c r="D342" i="4"/>
  <c r="B342" i="4"/>
  <c r="C342" i="4" s="1"/>
  <c r="E342" i="4" s="1"/>
  <c r="G342" i="4" s="1"/>
  <c r="F341" i="4"/>
  <c r="D341" i="4"/>
  <c r="E341" i="4" s="1"/>
  <c r="G341" i="4" s="1"/>
  <c r="B341" i="4"/>
  <c r="C341" i="4" s="1"/>
  <c r="F340" i="4"/>
  <c r="D340" i="4"/>
  <c r="B340" i="4"/>
  <c r="C340" i="4" s="1"/>
  <c r="E340" i="4" s="1"/>
  <c r="G340" i="4" s="1"/>
  <c r="I340" i="4" s="1"/>
  <c r="F339" i="4"/>
  <c r="D339" i="4"/>
  <c r="B339" i="4"/>
  <c r="C339" i="4" s="1"/>
  <c r="F338" i="4"/>
  <c r="D338" i="4"/>
  <c r="B338" i="4"/>
  <c r="C338" i="4" s="1"/>
  <c r="E338" i="4" s="1"/>
  <c r="G338" i="4" s="1"/>
  <c r="F337" i="4"/>
  <c r="D337" i="4"/>
  <c r="B337" i="4"/>
  <c r="C337" i="4" s="1"/>
  <c r="E337" i="4" s="1"/>
  <c r="G337" i="4" s="1"/>
  <c r="F336" i="4"/>
  <c r="D336" i="4"/>
  <c r="B336" i="4"/>
  <c r="C336" i="4" s="1"/>
  <c r="E336" i="4" s="1"/>
  <c r="G336" i="4" s="1"/>
  <c r="F335" i="4"/>
  <c r="D335" i="4"/>
  <c r="B335" i="4"/>
  <c r="C335" i="4" s="1"/>
  <c r="E335" i="4" s="1"/>
  <c r="G335" i="4" s="1"/>
  <c r="I335" i="4" s="1"/>
  <c r="F334" i="4"/>
  <c r="D334" i="4"/>
  <c r="B334" i="4"/>
  <c r="C334" i="4" s="1"/>
  <c r="E334" i="4" s="1"/>
  <c r="G334" i="4" s="1"/>
  <c r="F333" i="4"/>
  <c r="D333" i="4"/>
  <c r="B333" i="4"/>
  <c r="C333" i="4" s="1"/>
  <c r="E333" i="4" s="1"/>
  <c r="G333" i="4" s="1"/>
  <c r="F332" i="4"/>
  <c r="D332" i="4"/>
  <c r="C332" i="4"/>
  <c r="E332" i="4" s="1"/>
  <c r="G332" i="4" s="1"/>
  <c r="H332" i="4" s="1"/>
  <c r="B332" i="4"/>
  <c r="F331" i="4"/>
  <c r="D331" i="4"/>
  <c r="C331" i="4"/>
  <c r="E331" i="4" s="1"/>
  <c r="G331" i="4" s="1"/>
  <c r="B331" i="4"/>
  <c r="F330" i="4"/>
  <c r="D330" i="4"/>
  <c r="B330" i="4"/>
  <c r="C330" i="4" s="1"/>
  <c r="E330" i="4" s="1"/>
  <c r="G330" i="4" s="1"/>
  <c r="I330" i="4" s="1"/>
  <c r="F329" i="4"/>
  <c r="D329" i="4"/>
  <c r="B329" i="4"/>
  <c r="C329" i="4" s="1"/>
  <c r="E329" i="4" s="1"/>
  <c r="G329" i="4" s="1"/>
  <c r="F328" i="4"/>
  <c r="D328" i="4"/>
  <c r="B328" i="4"/>
  <c r="C328" i="4" s="1"/>
  <c r="E328" i="4" s="1"/>
  <c r="G328" i="4" s="1"/>
  <c r="I328" i="4" s="1"/>
  <c r="F327" i="4"/>
  <c r="I327" i="4" s="1"/>
  <c r="D327" i="4"/>
  <c r="C327" i="4"/>
  <c r="E327" i="4" s="1"/>
  <c r="G327" i="4" s="1"/>
  <c r="H327" i="4" s="1"/>
  <c r="B327" i="4"/>
  <c r="F326" i="4"/>
  <c r="D326" i="4"/>
  <c r="B326" i="4"/>
  <c r="C326" i="4" s="1"/>
  <c r="E326" i="4" s="1"/>
  <c r="G326" i="4" s="1"/>
  <c r="F325" i="4"/>
  <c r="D325" i="4"/>
  <c r="B325" i="4"/>
  <c r="C325" i="4" s="1"/>
  <c r="E325" i="4" s="1"/>
  <c r="G325" i="4" s="1"/>
  <c r="I325" i="4" s="1"/>
  <c r="G324" i="4"/>
  <c r="F324" i="4"/>
  <c r="E324" i="4"/>
  <c r="D324" i="4"/>
  <c r="B324" i="4"/>
  <c r="C324" i="4" s="1"/>
  <c r="F323" i="4"/>
  <c r="D323" i="4"/>
  <c r="B323" i="4"/>
  <c r="C323" i="4" s="1"/>
  <c r="E323" i="4" s="1"/>
  <c r="G323" i="4" s="1"/>
  <c r="I323" i="4" s="1"/>
  <c r="F322" i="4"/>
  <c r="D322" i="4"/>
  <c r="C322" i="4"/>
  <c r="E322" i="4" s="1"/>
  <c r="G322" i="4" s="1"/>
  <c r="B322" i="4"/>
  <c r="F321" i="4"/>
  <c r="D321" i="4"/>
  <c r="B321" i="4"/>
  <c r="C321" i="4" s="1"/>
  <c r="E321" i="4" s="1"/>
  <c r="G321" i="4" s="1"/>
  <c r="H321" i="4" s="1"/>
  <c r="F320" i="4"/>
  <c r="D320" i="4"/>
  <c r="C320" i="4"/>
  <c r="E320" i="4" s="1"/>
  <c r="G320" i="4" s="1"/>
  <c r="B320" i="4"/>
  <c r="F319" i="4"/>
  <c r="D319" i="4"/>
  <c r="C319" i="4"/>
  <c r="B319" i="4"/>
  <c r="F318" i="4"/>
  <c r="D318" i="4"/>
  <c r="B318" i="4"/>
  <c r="C318" i="4" s="1"/>
  <c r="E318" i="4" s="1"/>
  <c r="G318" i="4" s="1"/>
  <c r="G317" i="4"/>
  <c r="F317" i="4"/>
  <c r="D317" i="4"/>
  <c r="B317" i="4"/>
  <c r="C317" i="4" s="1"/>
  <c r="E317" i="4" s="1"/>
  <c r="F316" i="4"/>
  <c r="D316" i="4"/>
  <c r="B316" i="4"/>
  <c r="C316" i="4" s="1"/>
  <c r="E316" i="4" s="1"/>
  <c r="G316" i="4" s="1"/>
  <c r="F315" i="4"/>
  <c r="D315" i="4"/>
  <c r="C315" i="4"/>
  <c r="E315" i="4" s="1"/>
  <c r="G315" i="4" s="1"/>
  <c r="H315" i="4" s="1"/>
  <c r="B315" i="4"/>
  <c r="F314" i="4"/>
  <c r="D314" i="4"/>
  <c r="B314" i="4"/>
  <c r="C314" i="4" s="1"/>
  <c r="E314" i="4" s="1"/>
  <c r="G314" i="4" s="1"/>
  <c r="I314" i="4" s="1"/>
  <c r="F313" i="4"/>
  <c r="D313" i="4"/>
  <c r="B313" i="4"/>
  <c r="C313" i="4" s="1"/>
  <c r="E313" i="4" s="1"/>
  <c r="G313" i="4" s="1"/>
  <c r="F312" i="4"/>
  <c r="D312" i="4"/>
  <c r="C312" i="4"/>
  <c r="E312" i="4" s="1"/>
  <c r="G312" i="4" s="1"/>
  <c r="B312" i="4"/>
  <c r="F311" i="4"/>
  <c r="D311" i="4"/>
  <c r="B311" i="4"/>
  <c r="C311" i="4" s="1"/>
  <c r="E311" i="4" s="1"/>
  <c r="G311" i="4" s="1"/>
  <c r="H311" i="4" s="1"/>
  <c r="F310" i="4"/>
  <c r="D310" i="4"/>
  <c r="C310" i="4"/>
  <c r="E310" i="4" s="1"/>
  <c r="G310" i="4" s="1"/>
  <c r="B310" i="4"/>
  <c r="F309" i="4"/>
  <c r="D309" i="4"/>
  <c r="B309" i="4"/>
  <c r="C309" i="4" s="1"/>
  <c r="E309" i="4" s="1"/>
  <c r="G309" i="4" s="1"/>
  <c r="F308" i="4"/>
  <c r="D308" i="4"/>
  <c r="B308" i="4"/>
  <c r="C308" i="4" s="1"/>
  <c r="E308" i="4" s="1"/>
  <c r="G308" i="4" s="1"/>
  <c r="F307" i="4"/>
  <c r="D307" i="4"/>
  <c r="C307" i="4"/>
  <c r="E307" i="4" s="1"/>
  <c r="G307" i="4" s="1"/>
  <c r="B307" i="4"/>
  <c r="F306" i="4"/>
  <c r="D306" i="4"/>
  <c r="B306" i="4"/>
  <c r="C306" i="4" s="1"/>
  <c r="E306" i="4" s="1"/>
  <c r="G306" i="4" s="1"/>
  <c r="F305" i="4"/>
  <c r="D305" i="4"/>
  <c r="B305" i="4"/>
  <c r="C305" i="4" s="1"/>
  <c r="E305" i="4" s="1"/>
  <c r="G305" i="4" s="1"/>
  <c r="F304" i="4"/>
  <c r="D304" i="4"/>
  <c r="B304" i="4"/>
  <c r="C304" i="4" s="1"/>
  <c r="E304" i="4" s="1"/>
  <c r="G304" i="4" s="1"/>
  <c r="F303" i="4"/>
  <c r="D303" i="4"/>
  <c r="B303" i="4"/>
  <c r="C303" i="4" s="1"/>
  <c r="F302" i="4"/>
  <c r="D302" i="4"/>
  <c r="B302" i="4"/>
  <c r="C302" i="4" s="1"/>
  <c r="E302" i="4" s="1"/>
  <c r="G302" i="4" s="1"/>
  <c r="F301" i="4"/>
  <c r="D301" i="4"/>
  <c r="B301" i="4"/>
  <c r="C301" i="4" s="1"/>
  <c r="E301" i="4" s="1"/>
  <c r="G301" i="4" s="1"/>
  <c r="F300" i="4"/>
  <c r="D300" i="4"/>
  <c r="B300" i="4"/>
  <c r="C300" i="4" s="1"/>
  <c r="E300" i="4" s="1"/>
  <c r="G300" i="4" s="1"/>
  <c r="F299" i="4"/>
  <c r="E299" i="4"/>
  <c r="G299" i="4" s="1"/>
  <c r="I299" i="4" s="1"/>
  <c r="D299" i="4"/>
  <c r="B299" i="4"/>
  <c r="C299" i="4" s="1"/>
  <c r="F298" i="4"/>
  <c r="D298" i="4"/>
  <c r="B298" i="4"/>
  <c r="C298" i="4" s="1"/>
  <c r="E298" i="4" s="1"/>
  <c r="G298" i="4" s="1"/>
  <c r="F297" i="4"/>
  <c r="D297" i="4"/>
  <c r="C297" i="4"/>
  <c r="E297" i="4" s="1"/>
  <c r="G297" i="4" s="1"/>
  <c r="H297" i="4" s="1"/>
  <c r="B297" i="4"/>
  <c r="F296" i="4"/>
  <c r="D296" i="4"/>
  <c r="B296" i="4"/>
  <c r="C296" i="4" s="1"/>
  <c r="E296" i="4" s="1"/>
  <c r="G296" i="4" s="1"/>
  <c r="F295" i="4"/>
  <c r="D295" i="4"/>
  <c r="B295" i="4"/>
  <c r="C295" i="4" s="1"/>
  <c r="E295" i="4" s="1"/>
  <c r="G295" i="4" s="1"/>
  <c r="F294" i="4"/>
  <c r="D294" i="4"/>
  <c r="B294" i="4"/>
  <c r="C294" i="4" s="1"/>
  <c r="F293" i="4"/>
  <c r="D293" i="4"/>
  <c r="B293" i="4"/>
  <c r="C293" i="4" s="1"/>
  <c r="E293" i="4" s="1"/>
  <c r="G293" i="4" s="1"/>
  <c r="F292" i="4"/>
  <c r="D292" i="4"/>
  <c r="B292" i="4"/>
  <c r="C292" i="4" s="1"/>
  <c r="E292" i="4" s="1"/>
  <c r="G292" i="4" s="1"/>
  <c r="F291" i="4"/>
  <c r="D291" i="4"/>
  <c r="B291" i="4"/>
  <c r="C291" i="4" s="1"/>
  <c r="E291" i="4" s="1"/>
  <c r="G291" i="4" s="1"/>
  <c r="F290" i="4"/>
  <c r="D290" i="4"/>
  <c r="B290" i="4"/>
  <c r="C290" i="4" s="1"/>
  <c r="E290" i="4" s="1"/>
  <c r="G290" i="4" s="1"/>
  <c r="H290" i="4" s="1"/>
  <c r="F289" i="4"/>
  <c r="D289" i="4"/>
  <c r="B289" i="4"/>
  <c r="C289" i="4" s="1"/>
  <c r="E289" i="4" s="1"/>
  <c r="G289" i="4" s="1"/>
  <c r="I289" i="4" s="1"/>
  <c r="F288" i="4"/>
  <c r="D288" i="4"/>
  <c r="B288" i="4"/>
  <c r="C288" i="4" s="1"/>
  <c r="E288" i="4" s="1"/>
  <c r="G288" i="4" s="1"/>
  <c r="F287" i="4"/>
  <c r="D287" i="4"/>
  <c r="B287" i="4"/>
  <c r="C287" i="4" s="1"/>
  <c r="E287" i="4" s="1"/>
  <c r="G287" i="4" s="1"/>
  <c r="F286" i="4"/>
  <c r="D286" i="4"/>
  <c r="B286" i="4"/>
  <c r="C286" i="4" s="1"/>
  <c r="E286" i="4" s="1"/>
  <c r="G286" i="4" s="1"/>
  <c r="F285" i="4"/>
  <c r="D285" i="4"/>
  <c r="C285" i="4"/>
  <c r="E285" i="4" s="1"/>
  <c r="G285" i="4" s="1"/>
  <c r="B285" i="4"/>
  <c r="F284" i="4"/>
  <c r="D284" i="4"/>
  <c r="B284" i="4"/>
  <c r="C284" i="4" s="1"/>
  <c r="E284" i="4" s="1"/>
  <c r="G284" i="4" s="1"/>
  <c r="F283" i="4"/>
  <c r="D283" i="4"/>
  <c r="B283" i="4"/>
  <c r="C283" i="4" s="1"/>
  <c r="E283" i="4" s="1"/>
  <c r="G283" i="4" s="1"/>
  <c r="I283" i="4" s="1"/>
  <c r="F282" i="4"/>
  <c r="D282" i="4"/>
  <c r="C282" i="4"/>
  <c r="E282" i="4" s="1"/>
  <c r="G282" i="4" s="1"/>
  <c r="B282" i="4"/>
  <c r="F281" i="4"/>
  <c r="D281" i="4"/>
  <c r="B281" i="4"/>
  <c r="C281" i="4" s="1"/>
  <c r="E281" i="4" s="1"/>
  <c r="G281" i="4" s="1"/>
  <c r="F280" i="4"/>
  <c r="E280" i="4"/>
  <c r="G280" i="4" s="1"/>
  <c r="I280" i="4" s="1"/>
  <c r="D280" i="4"/>
  <c r="C280" i="4"/>
  <c r="B280" i="4"/>
  <c r="F279" i="4"/>
  <c r="D279" i="4"/>
  <c r="B279" i="4"/>
  <c r="C279" i="4" s="1"/>
  <c r="E279" i="4" s="1"/>
  <c r="G279" i="4" s="1"/>
  <c r="I279" i="4" s="1"/>
  <c r="F278" i="4"/>
  <c r="D278" i="4"/>
  <c r="B278" i="4"/>
  <c r="C278" i="4" s="1"/>
  <c r="E278" i="4" s="1"/>
  <c r="G278" i="4" s="1"/>
  <c r="F277" i="4"/>
  <c r="D277" i="4"/>
  <c r="B277" i="4"/>
  <c r="C277" i="4" s="1"/>
  <c r="F276" i="4"/>
  <c r="D276" i="4"/>
  <c r="C276" i="4"/>
  <c r="E276" i="4" s="1"/>
  <c r="G276" i="4" s="1"/>
  <c r="B276" i="4"/>
  <c r="F275" i="4"/>
  <c r="D275" i="4"/>
  <c r="B275" i="4"/>
  <c r="C275" i="4" s="1"/>
  <c r="E275" i="4" s="1"/>
  <c r="G275" i="4" s="1"/>
  <c r="F274" i="4"/>
  <c r="D274" i="4"/>
  <c r="B274" i="4"/>
  <c r="C274" i="4" s="1"/>
  <c r="E274" i="4" s="1"/>
  <c r="G274" i="4" s="1"/>
  <c r="I274" i="4" s="1"/>
  <c r="G273" i="4"/>
  <c r="F273" i="4"/>
  <c r="D273" i="4"/>
  <c r="B273" i="4"/>
  <c r="C273" i="4" s="1"/>
  <c r="E273" i="4" s="1"/>
  <c r="F272" i="4"/>
  <c r="D272" i="4"/>
  <c r="B272" i="4"/>
  <c r="C272" i="4" s="1"/>
  <c r="E272" i="4" s="1"/>
  <c r="G272" i="4" s="1"/>
  <c r="F271" i="4"/>
  <c r="D271" i="4"/>
  <c r="B271" i="4"/>
  <c r="C271" i="4" s="1"/>
  <c r="E271" i="4" s="1"/>
  <c r="G271" i="4" s="1"/>
  <c r="H271" i="4" s="1"/>
  <c r="F270" i="4"/>
  <c r="D270" i="4"/>
  <c r="C270" i="4"/>
  <c r="E270" i="4" s="1"/>
  <c r="G270" i="4" s="1"/>
  <c r="B270" i="4"/>
  <c r="F269" i="4"/>
  <c r="D269" i="4"/>
  <c r="B269" i="4"/>
  <c r="C269" i="4" s="1"/>
  <c r="E269" i="4" s="1"/>
  <c r="G269" i="4" s="1"/>
  <c r="F268" i="4"/>
  <c r="D268" i="4"/>
  <c r="B268" i="4"/>
  <c r="C268" i="4" s="1"/>
  <c r="E268" i="4" s="1"/>
  <c r="G268" i="4" s="1"/>
  <c r="I268" i="4" s="1"/>
  <c r="F267" i="4"/>
  <c r="D267" i="4"/>
  <c r="B267" i="4"/>
  <c r="C267" i="4" s="1"/>
  <c r="F266" i="4"/>
  <c r="D266" i="4"/>
  <c r="B266" i="4"/>
  <c r="C266" i="4" s="1"/>
  <c r="E266" i="4" s="1"/>
  <c r="G266" i="4" s="1"/>
  <c r="I266" i="4" s="1"/>
  <c r="G265" i="4"/>
  <c r="F265" i="4"/>
  <c r="D265" i="4"/>
  <c r="C265" i="4"/>
  <c r="E265" i="4" s="1"/>
  <c r="B265" i="4"/>
  <c r="F264" i="4"/>
  <c r="D264" i="4"/>
  <c r="B264" i="4"/>
  <c r="C264" i="4" s="1"/>
  <c r="F263" i="4"/>
  <c r="D263" i="4"/>
  <c r="B263" i="4"/>
  <c r="C263" i="4" s="1"/>
  <c r="E263" i="4" s="1"/>
  <c r="G263" i="4" s="1"/>
  <c r="I263" i="4" s="1"/>
  <c r="F262" i="4"/>
  <c r="D262" i="4"/>
  <c r="C262" i="4"/>
  <c r="E262" i="4" s="1"/>
  <c r="G262" i="4" s="1"/>
  <c r="B262" i="4"/>
  <c r="G261" i="4"/>
  <c r="I261" i="4" s="1"/>
  <c r="F261" i="4"/>
  <c r="D261" i="4"/>
  <c r="B261" i="4"/>
  <c r="C261" i="4" s="1"/>
  <c r="E261" i="4" s="1"/>
  <c r="F260" i="4"/>
  <c r="E260" i="4"/>
  <c r="G260" i="4" s="1"/>
  <c r="H260" i="4" s="1"/>
  <c r="D260" i="4"/>
  <c r="C260" i="4"/>
  <c r="B260" i="4"/>
  <c r="F259" i="4"/>
  <c r="I259" i="4" s="1"/>
  <c r="D259" i="4"/>
  <c r="B259" i="4"/>
  <c r="C259" i="4" s="1"/>
  <c r="E259" i="4" s="1"/>
  <c r="G259" i="4" s="1"/>
  <c r="F258" i="4"/>
  <c r="D258" i="4"/>
  <c r="B258" i="4"/>
  <c r="C258" i="4" s="1"/>
  <c r="E258" i="4" s="1"/>
  <c r="G258" i="4" s="1"/>
  <c r="I258" i="4" s="1"/>
  <c r="F257" i="4"/>
  <c r="H257" i="4" s="1"/>
  <c r="D257" i="4"/>
  <c r="B257" i="4"/>
  <c r="C257" i="4" s="1"/>
  <c r="E257" i="4" s="1"/>
  <c r="G257" i="4" s="1"/>
  <c r="I257" i="4" s="1"/>
  <c r="F256" i="4"/>
  <c r="D256" i="4"/>
  <c r="B256" i="4"/>
  <c r="C256" i="4" s="1"/>
  <c r="E256" i="4" s="1"/>
  <c r="G256" i="4" s="1"/>
  <c r="F255" i="4"/>
  <c r="I255" i="4" s="1"/>
  <c r="E255" i="4"/>
  <c r="G255" i="4" s="1"/>
  <c r="D255" i="4"/>
  <c r="B255" i="4"/>
  <c r="C255" i="4" s="1"/>
  <c r="F254" i="4"/>
  <c r="D254" i="4"/>
  <c r="B254" i="4"/>
  <c r="C254" i="4" s="1"/>
  <c r="E254" i="4" s="1"/>
  <c r="G254" i="4" s="1"/>
  <c r="F253" i="4"/>
  <c r="D253" i="4"/>
  <c r="B253" i="4"/>
  <c r="C253" i="4" s="1"/>
  <c r="E253" i="4" s="1"/>
  <c r="G253" i="4" s="1"/>
  <c r="I253" i="4" s="1"/>
  <c r="F252" i="4"/>
  <c r="D252" i="4"/>
  <c r="B252" i="4"/>
  <c r="C252" i="4" s="1"/>
  <c r="E252" i="4" s="1"/>
  <c r="G252" i="4" s="1"/>
  <c r="F251" i="4"/>
  <c r="D251" i="4"/>
  <c r="B251" i="4"/>
  <c r="C251" i="4" s="1"/>
  <c r="E251" i="4" s="1"/>
  <c r="G251" i="4" s="1"/>
  <c r="F250" i="4"/>
  <c r="D250" i="4"/>
  <c r="C250" i="4"/>
  <c r="E250" i="4" s="1"/>
  <c r="G250" i="4" s="1"/>
  <c r="B250" i="4"/>
  <c r="F249" i="4"/>
  <c r="D249" i="4"/>
  <c r="B249" i="4"/>
  <c r="C249" i="4" s="1"/>
  <c r="E249" i="4" s="1"/>
  <c r="G249" i="4" s="1"/>
  <c r="F248" i="4"/>
  <c r="D248" i="4"/>
  <c r="B248" i="4"/>
  <c r="C248" i="4" s="1"/>
  <c r="E248" i="4" s="1"/>
  <c r="G248" i="4" s="1"/>
  <c r="I248" i="4" s="1"/>
  <c r="F247" i="4"/>
  <c r="D247" i="4"/>
  <c r="B247" i="4"/>
  <c r="C247" i="4" s="1"/>
  <c r="E247" i="4" s="1"/>
  <c r="G247" i="4" s="1"/>
  <c r="F246" i="4"/>
  <c r="D246" i="4"/>
  <c r="B246" i="4"/>
  <c r="C246" i="4" s="1"/>
  <c r="E246" i="4" s="1"/>
  <c r="G246" i="4" s="1"/>
  <c r="F245" i="4"/>
  <c r="D245" i="4"/>
  <c r="B245" i="4"/>
  <c r="C245" i="4" s="1"/>
  <c r="E245" i="4" s="1"/>
  <c r="G245" i="4" s="1"/>
  <c r="F244" i="4"/>
  <c r="D244" i="4"/>
  <c r="C244" i="4"/>
  <c r="E244" i="4" s="1"/>
  <c r="G244" i="4" s="1"/>
  <c r="B244" i="4"/>
  <c r="F243" i="4"/>
  <c r="D243" i="4"/>
  <c r="B243" i="4"/>
  <c r="C243" i="4" s="1"/>
  <c r="E243" i="4" s="1"/>
  <c r="G243" i="4" s="1"/>
  <c r="F242" i="4"/>
  <c r="D242" i="4"/>
  <c r="B242" i="4"/>
  <c r="C242" i="4" s="1"/>
  <c r="E242" i="4" s="1"/>
  <c r="G242" i="4" s="1"/>
  <c r="F241" i="4"/>
  <c r="D241" i="4"/>
  <c r="B241" i="4"/>
  <c r="C241" i="4" s="1"/>
  <c r="E241" i="4" s="1"/>
  <c r="G241" i="4" s="1"/>
  <c r="H241" i="4" s="1"/>
  <c r="F240" i="4"/>
  <c r="D240" i="4"/>
  <c r="B240" i="4"/>
  <c r="C240" i="4" s="1"/>
  <c r="E240" i="4" s="1"/>
  <c r="G240" i="4" s="1"/>
  <c r="F239" i="4"/>
  <c r="D239" i="4"/>
  <c r="B239" i="4"/>
  <c r="C239" i="4" s="1"/>
  <c r="F238" i="4"/>
  <c r="E238" i="4"/>
  <c r="G238" i="4" s="1"/>
  <c r="D238" i="4"/>
  <c r="B238" i="4"/>
  <c r="C238" i="4" s="1"/>
  <c r="F237" i="4"/>
  <c r="D237" i="4"/>
  <c r="B237" i="4"/>
  <c r="C237" i="4" s="1"/>
  <c r="E237" i="4" s="1"/>
  <c r="G237" i="4" s="1"/>
  <c r="G236" i="4"/>
  <c r="F236" i="4"/>
  <c r="D236" i="4"/>
  <c r="B236" i="4"/>
  <c r="C236" i="4" s="1"/>
  <c r="E236" i="4" s="1"/>
  <c r="F235" i="4"/>
  <c r="D235" i="4"/>
  <c r="C235" i="4"/>
  <c r="E235" i="4" s="1"/>
  <c r="G235" i="4" s="1"/>
  <c r="B235" i="4"/>
  <c r="H234" i="4"/>
  <c r="F234" i="4"/>
  <c r="D234" i="4"/>
  <c r="C234" i="4"/>
  <c r="E234" i="4" s="1"/>
  <c r="G234" i="4" s="1"/>
  <c r="B234" i="4"/>
  <c r="F233" i="4"/>
  <c r="D233" i="4"/>
  <c r="B233" i="4"/>
  <c r="C233" i="4" s="1"/>
  <c r="E233" i="4" s="1"/>
  <c r="G233" i="4" s="1"/>
  <c r="I233" i="4" s="1"/>
  <c r="F232" i="4"/>
  <c r="D232" i="4"/>
  <c r="B232" i="4"/>
  <c r="C232" i="4" s="1"/>
  <c r="E232" i="4" s="1"/>
  <c r="G232" i="4" s="1"/>
  <c r="F231" i="4"/>
  <c r="D231" i="4"/>
  <c r="B231" i="4"/>
  <c r="C231" i="4" s="1"/>
  <c r="E231" i="4" s="1"/>
  <c r="G231" i="4" s="1"/>
  <c r="I231" i="4" s="1"/>
  <c r="F230" i="4"/>
  <c r="D230" i="4"/>
  <c r="B230" i="4"/>
  <c r="C230" i="4" s="1"/>
  <c r="E230" i="4" s="1"/>
  <c r="G230" i="4" s="1"/>
  <c r="I230" i="4" s="1"/>
  <c r="F229" i="4"/>
  <c r="E229" i="4"/>
  <c r="G229" i="4" s="1"/>
  <c r="D229" i="4"/>
  <c r="B229" i="4"/>
  <c r="C229" i="4" s="1"/>
  <c r="F228" i="4"/>
  <c r="D228" i="4"/>
  <c r="B228" i="4"/>
  <c r="C228" i="4" s="1"/>
  <c r="E228" i="4" s="1"/>
  <c r="G228" i="4" s="1"/>
  <c r="F227" i="4"/>
  <c r="D227" i="4"/>
  <c r="B227" i="4"/>
  <c r="C227" i="4" s="1"/>
  <c r="E227" i="4" s="1"/>
  <c r="G227" i="4" s="1"/>
  <c r="F226" i="4"/>
  <c r="D226" i="4"/>
  <c r="B226" i="4"/>
  <c r="C226" i="4" s="1"/>
  <c r="F225" i="4"/>
  <c r="D225" i="4"/>
  <c r="B225" i="4"/>
  <c r="C225" i="4" s="1"/>
  <c r="E225" i="4" s="1"/>
  <c r="G225" i="4" s="1"/>
  <c r="F224" i="4"/>
  <c r="D224" i="4"/>
  <c r="B224" i="4"/>
  <c r="C224" i="4" s="1"/>
  <c r="F223" i="4"/>
  <c r="D223" i="4"/>
  <c r="B223" i="4"/>
  <c r="C223" i="4" s="1"/>
  <c r="E223" i="4" s="1"/>
  <c r="G223" i="4" s="1"/>
  <c r="F222" i="4"/>
  <c r="D222" i="4"/>
  <c r="B222" i="4"/>
  <c r="C222" i="4" s="1"/>
  <c r="E222" i="4" s="1"/>
  <c r="G222" i="4" s="1"/>
  <c r="F221" i="4"/>
  <c r="D221" i="4"/>
  <c r="B221" i="4"/>
  <c r="C221" i="4" s="1"/>
  <c r="E221" i="4" s="1"/>
  <c r="G221" i="4" s="1"/>
  <c r="F220" i="4"/>
  <c r="D220" i="4"/>
  <c r="B220" i="4"/>
  <c r="C220" i="4" s="1"/>
  <c r="E220" i="4" s="1"/>
  <c r="G220" i="4" s="1"/>
  <c r="I220" i="4" s="1"/>
  <c r="F219" i="4"/>
  <c r="D219" i="4"/>
  <c r="B219" i="4"/>
  <c r="C219" i="4" s="1"/>
  <c r="E219" i="4" s="1"/>
  <c r="G219" i="4" s="1"/>
  <c r="F218" i="4"/>
  <c r="D218" i="4"/>
  <c r="B218" i="4"/>
  <c r="C218" i="4" s="1"/>
  <c r="F217" i="4"/>
  <c r="D217" i="4"/>
  <c r="B217" i="4"/>
  <c r="C217" i="4" s="1"/>
  <c r="E217" i="4" s="1"/>
  <c r="G217" i="4" s="1"/>
  <c r="G216" i="4"/>
  <c r="F216" i="4"/>
  <c r="D216" i="4"/>
  <c r="B216" i="4"/>
  <c r="C216" i="4" s="1"/>
  <c r="E216" i="4" s="1"/>
  <c r="F215" i="4"/>
  <c r="D215" i="4"/>
  <c r="C215" i="4"/>
  <c r="E215" i="4" s="1"/>
  <c r="G215" i="4" s="1"/>
  <c r="B215" i="4"/>
  <c r="F214" i="4"/>
  <c r="D214" i="4"/>
  <c r="B214" i="4"/>
  <c r="C214" i="4" s="1"/>
  <c r="E214" i="4" s="1"/>
  <c r="G214" i="4" s="1"/>
  <c r="F213" i="4"/>
  <c r="D213" i="4"/>
  <c r="B213" i="4"/>
  <c r="C213" i="4" s="1"/>
  <c r="E213" i="4" s="1"/>
  <c r="G213" i="4" s="1"/>
  <c r="F212" i="4"/>
  <c r="D212" i="4"/>
  <c r="B212" i="4"/>
  <c r="C212" i="4" s="1"/>
  <c r="E212" i="4" s="1"/>
  <c r="G212" i="4" s="1"/>
  <c r="I212" i="4" s="1"/>
  <c r="F211" i="4"/>
  <c r="D211" i="4"/>
  <c r="B211" i="4"/>
  <c r="C211" i="4" s="1"/>
  <c r="F210" i="4"/>
  <c r="D210" i="4"/>
  <c r="B210" i="4"/>
  <c r="C210" i="4" s="1"/>
  <c r="F209" i="4"/>
  <c r="D209" i="4"/>
  <c r="B209" i="4"/>
  <c r="C209" i="4" s="1"/>
  <c r="E209" i="4" s="1"/>
  <c r="G209" i="4" s="1"/>
  <c r="F208" i="4"/>
  <c r="D208" i="4"/>
  <c r="B208" i="4"/>
  <c r="C208" i="4" s="1"/>
  <c r="E208" i="4" s="1"/>
  <c r="G208" i="4" s="1"/>
  <c r="I208" i="4" s="1"/>
  <c r="I207" i="4"/>
  <c r="F207" i="4"/>
  <c r="D207" i="4"/>
  <c r="B207" i="4"/>
  <c r="C207" i="4" s="1"/>
  <c r="E207" i="4" s="1"/>
  <c r="G207" i="4" s="1"/>
  <c r="H207" i="4" s="1"/>
  <c r="F206" i="4"/>
  <c r="D206" i="4"/>
  <c r="B206" i="4"/>
  <c r="C206" i="4" s="1"/>
  <c r="E206" i="4" s="1"/>
  <c r="G206" i="4" s="1"/>
  <c r="F205" i="4"/>
  <c r="D205" i="4"/>
  <c r="C205" i="4"/>
  <c r="E205" i="4" s="1"/>
  <c r="G205" i="4" s="1"/>
  <c r="B205" i="4"/>
  <c r="F204" i="4"/>
  <c r="D204" i="4"/>
  <c r="B204" i="4"/>
  <c r="C204" i="4" s="1"/>
  <c r="E204" i="4" s="1"/>
  <c r="G204" i="4" s="1"/>
  <c r="F203" i="4"/>
  <c r="D203" i="4"/>
  <c r="B203" i="4"/>
  <c r="C203" i="4" s="1"/>
  <c r="E203" i="4" s="1"/>
  <c r="G203" i="4" s="1"/>
  <c r="I203" i="4" s="1"/>
  <c r="G202" i="4"/>
  <c r="F202" i="4"/>
  <c r="D202" i="4"/>
  <c r="B202" i="4"/>
  <c r="C202" i="4" s="1"/>
  <c r="E202" i="4" s="1"/>
  <c r="F201" i="4"/>
  <c r="D201" i="4"/>
  <c r="B201" i="4"/>
  <c r="C201" i="4" s="1"/>
  <c r="E201" i="4" s="1"/>
  <c r="G201" i="4" s="1"/>
  <c r="F200" i="4"/>
  <c r="D200" i="4"/>
  <c r="B200" i="4"/>
  <c r="C200" i="4" s="1"/>
  <c r="E200" i="4" s="1"/>
  <c r="G200" i="4" s="1"/>
  <c r="F199" i="4"/>
  <c r="D199" i="4"/>
  <c r="C199" i="4"/>
  <c r="E199" i="4" s="1"/>
  <c r="G199" i="4" s="1"/>
  <c r="B199" i="4"/>
  <c r="F198" i="4"/>
  <c r="D198" i="4"/>
  <c r="B198" i="4"/>
  <c r="C198" i="4" s="1"/>
  <c r="E198" i="4" s="1"/>
  <c r="G198" i="4" s="1"/>
  <c r="F197" i="4"/>
  <c r="E197" i="4"/>
  <c r="G197" i="4" s="1"/>
  <c r="D197" i="4"/>
  <c r="B197" i="4"/>
  <c r="C197" i="4" s="1"/>
  <c r="F196" i="4"/>
  <c r="D196" i="4"/>
  <c r="B196" i="4"/>
  <c r="C196" i="4" s="1"/>
  <c r="E196" i="4" s="1"/>
  <c r="G196" i="4" s="1"/>
  <c r="F195" i="4"/>
  <c r="D195" i="4"/>
  <c r="B195" i="4"/>
  <c r="C195" i="4" s="1"/>
  <c r="E195" i="4" s="1"/>
  <c r="G195" i="4" s="1"/>
  <c r="F194" i="4"/>
  <c r="D194" i="4"/>
  <c r="B194" i="4"/>
  <c r="C194" i="4" s="1"/>
  <c r="F193" i="4"/>
  <c r="D193" i="4"/>
  <c r="B193" i="4"/>
  <c r="C193" i="4" s="1"/>
  <c r="E193" i="4" s="1"/>
  <c r="G193" i="4" s="1"/>
  <c r="F192" i="4"/>
  <c r="D192" i="4"/>
  <c r="C192" i="4"/>
  <c r="E192" i="4" s="1"/>
  <c r="G192" i="4" s="1"/>
  <c r="B192" i="4"/>
  <c r="F191" i="4"/>
  <c r="D191" i="4"/>
  <c r="B191" i="4"/>
  <c r="C191" i="4" s="1"/>
  <c r="E191" i="4" s="1"/>
  <c r="G191" i="4" s="1"/>
  <c r="F190" i="4"/>
  <c r="D190" i="4"/>
  <c r="B190" i="4"/>
  <c r="C190" i="4" s="1"/>
  <c r="E190" i="4" s="1"/>
  <c r="G190" i="4" s="1"/>
  <c r="F189" i="4"/>
  <c r="D189" i="4"/>
  <c r="B189" i="4"/>
  <c r="C189" i="4" s="1"/>
  <c r="F188" i="4"/>
  <c r="D188" i="4"/>
  <c r="B188" i="4"/>
  <c r="C188" i="4" s="1"/>
  <c r="E188" i="4" s="1"/>
  <c r="G188" i="4" s="1"/>
  <c r="F187" i="4"/>
  <c r="D187" i="4"/>
  <c r="B187" i="4"/>
  <c r="C187" i="4" s="1"/>
  <c r="E187" i="4" s="1"/>
  <c r="G187" i="4" s="1"/>
  <c r="F186" i="4"/>
  <c r="D186" i="4"/>
  <c r="C186" i="4"/>
  <c r="B186" i="4"/>
  <c r="F185" i="4"/>
  <c r="D185" i="4"/>
  <c r="B185" i="4"/>
  <c r="C185" i="4" s="1"/>
  <c r="E185" i="4" s="1"/>
  <c r="G185" i="4" s="1"/>
  <c r="F184" i="4"/>
  <c r="D184" i="4"/>
  <c r="B184" i="4"/>
  <c r="C184" i="4" s="1"/>
  <c r="E184" i="4" s="1"/>
  <c r="G184" i="4" s="1"/>
  <c r="F183" i="4"/>
  <c r="D183" i="4"/>
  <c r="B183" i="4"/>
  <c r="C183" i="4" s="1"/>
  <c r="E183" i="4" s="1"/>
  <c r="G183" i="4" s="1"/>
  <c r="F182" i="4"/>
  <c r="D182" i="4"/>
  <c r="B182" i="4"/>
  <c r="C182" i="4" s="1"/>
  <c r="E182" i="4" s="1"/>
  <c r="G182" i="4" s="1"/>
  <c r="F181" i="4"/>
  <c r="D181" i="4"/>
  <c r="B181" i="4"/>
  <c r="C181" i="4" s="1"/>
  <c r="E181" i="4" s="1"/>
  <c r="G181" i="4" s="1"/>
  <c r="F180" i="4"/>
  <c r="D180" i="4"/>
  <c r="C180" i="4"/>
  <c r="E180" i="4" s="1"/>
  <c r="G180" i="4" s="1"/>
  <c r="B180" i="4"/>
  <c r="F179" i="4"/>
  <c r="D179" i="4"/>
  <c r="C179" i="4"/>
  <c r="E179" i="4" s="1"/>
  <c r="G179" i="4" s="1"/>
  <c r="B179" i="4"/>
  <c r="F178" i="4"/>
  <c r="D178" i="4"/>
  <c r="B178" i="4"/>
  <c r="C178" i="4" s="1"/>
  <c r="F177" i="4"/>
  <c r="D177" i="4"/>
  <c r="B177" i="4"/>
  <c r="C177" i="4" s="1"/>
  <c r="E177" i="4" s="1"/>
  <c r="G177" i="4" s="1"/>
  <c r="F176" i="4"/>
  <c r="D176" i="4"/>
  <c r="C176" i="4"/>
  <c r="B176" i="4"/>
  <c r="F175" i="4"/>
  <c r="D175" i="4"/>
  <c r="B175" i="4"/>
  <c r="C175" i="4" s="1"/>
  <c r="E175" i="4" s="1"/>
  <c r="G175" i="4" s="1"/>
  <c r="F174" i="4"/>
  <c r="D174" i="4"/>
  <c r="B174" i="4"/>
  <c r="C174" i="4" s="1"/>
  <c r="E174" i="4" s="1"/>
  <c r="G174" i="4" s="1"/>
  <c r="F173" i="4"/>
  <c r="D173" i="4"/>
  <c r="C173" i="4"/>
  <c r="E173" i="4" s="1"/>
  <c r="G173" i="4" s="1"/>
  <c r="B173" i="4"/>
  <c r="F172" i="4"/>
  <c r="D172" i="4"/>
  <c r="C172" i="4"/>
  <c r="E172" i="4" s="1"/>
  <c r="G172" i="4" s="1"/>
  <c r="B172" i="4"/>
  <c r="F171" i="4"/>
  <c r="D171" i="4"/>
  <c r="B171" i="4"/>
  <c r="C171" i="4" s="1"/>
  <c r="E171" i="4" s="1"/>
  <c r="G171" i="4" s="1"/>
  <c r="F170" i="4"/>
  <c r="D170" i="4"/>
  <c r="B170" i="4"/>
  <c r="C170" i="4" s="1"/>
  <c r="E170" i="4" s="1"/>
  <c r="G170" i="4" s="1"/>
  <c r="F169" i="4"/>
  <c r="D169" i="4"/>
  <c r="B169" i="4"/>
  <c r="C169" i="4" s="1"/>
  <c r="F168" i="4"/>
  <c r="D168" i="4"/>
  <c r="B168" i="4"/>
  <c r="C168" i="4" s="1"/>
  <c r="E168" i="4" s="1"/>
  <c r="G168" i="4" s="1"/>
  <c r="G167" i="4"/>
  <c r="F167" i="4"/>
  <c r="D167" i="4"/>
  <c r="B167" i="4"/>
  <c r="C167" i="4" s="1"/>
  <c r="E167" i="4" s="1"/>
  <c r="F166" i="4"/>
  <c r="D166" i="4"/>
  <c r="B166" i="4"/>
  <c r="C166" i="4" s="1"/>
  <c r="E166" i="4" s="1"/>
  <c r="G166" i="4" s="1"/>
  <c r="F165" i="4"/>
  <c r="D165" i="4"/>
  <c r="C165" i="4"/>
  <c r="E165" i="4" s="1"/>
  <c r="G165" i="4" s="1"/>
  <c r="B165" i="4"/>
  <c r="F164" i="4"/>
  <c r="E164" i="4"/>
  <c r="G164" i="4" s="1"/>
  <c r="I164" i="4" s="1"/>
  <c r="D164" i="4"/>
  <c r="B164" i="4"/>
  <c r="C164" i="4" s="1"/>
  <c r="F163" i="4"/>
  <c r="D163" i="4"/>
  <c r="B163" i="4"/>
  <c r="C163" i="4" s="1"/>
  <c r="E163" i="4" s="1"/>
  <c r="G163" i="4" s="1"/>
  <c r="F162" i="4"/>
  <c r="I162" i="4" s="1"/>
  <c r="D162" i="4"/>
  <c r="B162" i="4"/>
  <c r="C162" i="4" s="1"/>
  <c r="E162" i="4" s="1"/>
  <c r="G162" i="4" s="1"/>
  <c r="F161" i="4"/>
  <c r="D161" i="4"/>
  <c r="B161" i="4"/>
  <c r="C161" i="4" s="1"/>
  <c r="F160" i="4"/>
  <c r="D160" i="4"/>
  <c r="B160" i="4"/>
  <c r="C160" i="4" s="1"/>
  <c r="E160" i="4" s="1"/>
  <c r="G160" i="4" s="1"/>
  <c r="F159" i="4"/>
  <c r="D159" i="4"/>
  <c r="B159" i="4"/>
  <c r="C159" i="4" s="1"/>
  <c r="E159" i="4" s="1"/>
  <c r="G159" i="4" s="1"/>
  <c r="G158" i="4"/>
  <c r="F158" i="4"/>
  <c r="D158" i="4"/>
  <c r="B158" i="4"/>
  <c r="C158" i="4" s="1"/>
  <c r="E158" i="4" s="1"/>
  <c r="F157" i="4"/>
  <c r="D157" i="4"/>
  <c r="B157" i="4"/>
  <c r="C157" i="4" s="1"/>
  <c r="E157" i="4" s="1"/>
  <c r="G157" i="4" s="1"/>
  <c r="F156" i="4"/>
  <c r="D156" i="4"/>
  <c r="B156" i="4"/>
  <c r="C156" i="4" s="1"/>
  <c r="E156" i="4" s="1"/>
  <c r="G156" i="4" s="1"/>
  <c r="H156" i="4" s="1"/>
  <c r="F155" i="4"/>
  <c r="D155" i="4"/>
  <c r="B155" i="4"/>
  <c r="C155" i="4" s="1"/>
  <c r="E155" i="4" s="1"/>
  <c r="G155" i="4" s="1"/>
  <c r="F154" i="4"/>
  <c r="D154" i="4"/>
  <c r="B154" i="4"/>
  <c r="C154" i="4" s="1"/>
  <c r="E154" i="4" s="1"/>
  <c r="G154" i="4" s="1"/>
  <c r="F153" i="4"/>
  <c r="D153" i="4"/>
  <c r="C153" i="4"/>
  <c r="E153" i="4" s="1"/>
  <c r="G153" i="4" s="1"/>
  <c r="I153" i="4" s="1"/>
  <c r="B153" i="4"/>
  <c r="F152" i="4"/>
  <c r="D152" i="4"/>
  <c r="B152" i="4"/>
  <c r="C152" i="4" s="1"/>
  <c r="E152" i="4" s="1"/>
  <c r="G152" i="4" s="1"/>
  <c r="F151" i="4"/>
  <c r="D151" i="4"/>
  <c r="B151" i="4"/>
  <c r="C151" i="4" s="1"/>
  <c r="E151" i="4" s="1"/>
  <c r="G151" i="4" s="1"/>
  <c r="G150" i="4"/>
  <c r="F150" i="4"/>
  <c r="D150" i="4"/>
  <c r="B150" i="4"/>
  <c r="C150" i="4" s="1"/>
  <c r="E150" i="4" s="1"/>
  <c r="F149" i="4"/>
  <c r="D149" i="4"/>
  <c r="B149" i="4"/>
  <c r="C149" i="4" s="1"/>
  <c r="E149" i="4" s="1"/>
  <c r="G149" i="4" s="1"/>
  <c r="F148" i="4"/>
  <c r="D148" i="4"/>
  <c r="B148" i="4"/>
  <c r="C148" i="4" s="1"/>
  <c r="E148" i="4" s="1"/>
  <c r="G148" i="4" s="1"/>
  <c r="F147" i="4"/>
  <c r="D147" i="4"/>
  <c r="B147" i="4"/>
  <c r="C147" i="4" s="1"/>
  <c r="E147" i="4" s="1"/>
  <c r="G147" i="4" s="1"/>
  <c r="F146" i="4"/>
  <c r="D146" i="4"/>
  <c r="B146" i="4"/>
  <c r="C146" i="4" s="1"/>
  <c r="E146" i="4" s="1"/>
  <c r="G146" i="4" s="1"/>
  <c r="F145" i="4"/>
  <c r="D145" i="4"/>
  <c r="B145" i="4"/>
  <c r="C145" i="4" s="1"/>
  <c r="E145" i="4" s="1"/>
  <c r="G145" i="4" s="1"/>
  <c r="F144" i="4"/>
  <c r="D144" i="4"/>
  <c r="B144" i="4"/>
  <c r="C144" i="4" s="1"/>
  <c r="E144" i="4" s="1"/>
  <c r="G144" i="4" s="1"/>
  <c r="F143" i="4"/>
  <c r="D143" i="4"/>
  <c r="B143" i="4"/>
  <c r="C143" i="4" s="1"/>
  <c r="E143" i="4" s="1"/>
  <c r="G143" i="4" s="1"/>
  <c r="G142" i="4"/>
  <c r="F142" i="4"/>
  <c r="D142" i="4"/>
  <c r="B142" i="4"/>
  <c r="C142" i="4" s="1"/>
  <c r="E142" i="4" s="1"/>
  <c r="F141" i="4"/>
  <c r="D141" i="4"/>
  <c r="B141" i="4"/>
  <c r="C141" i="4" s="1"/>
  <c r="E141" i="4" s="1"/>
  <c r="G141" i="4" s="1"/>
  <c r="F140" i="4"/>
  <c r="D140" i="4"/>
  <c r="B140" i="4"/>
  <c r="C140" i="4" s="1"/>
  <c r="E140" i="4" s="1"/>
  <c r="G140" i="4" s="1"/>
  <c r="F139" i="4"/>
  <c r="D139" i="4"/>
  <c r="B139" i="4"/>
  <c r="C139" i="4" s="1"/>
  <c r="E139" i="4" s="1"/>
  <c r="G139" i="4" s="1"/>
  <c r="F138" i="4"/>
  <c r="D138" i="4"/>
  <c r="B138" i="4"/>
  <c r="C138" i="4" s="1"/>
  <c r="E138" i="4" s="1"/>
  <c r="G138" i="4" s="1"/>
  <c r="F137" i="4"/>
  <c r="D137" i="4"/>
  <c r="B137" i="4"/>
  <c r="C137" i="4" s="1"/>
  <c r="F136" i="4"/>
  <c r="D136" i="4"/>
  <c r="B136" i="4"/>
  <c r="C136" i="4" s="1"/>
  <c r="E136" i="4" s="1"/>
  <c r="G136" i="4" s="1"/>
  <c r="F135" i="4"/>
  <c r="D135" i="4"/>
  <c r="B135" i="4"/>
  <c r="C135" i="4" s="1"/>
  <c r="E135" i="4" s="1"/>
  <c r="G135" i="4" s="1"/>
  <c r="F134" i="4"/>
  <c r="D134" i="4"/>
  <c r="B134" i="4"/>
  <c r="C134" i="4" s="1"/>
  <c r="E134" i="4" s="1"/>
  <c r="G134" i="4" s="1"/>
  <c r="F133" i="4"/>
  <c r="D133" i="4"/>
  <c r="B133" i="4"/>
  <c r="C133" i="4" s="1"/>
  <c r="E133" i="4" s="1"/>
  <c r="G133" i="4" s="1"/>
  <c r="F132" i="4"/>
  <c r="D132" i="4"/>
  <c r="B132" i="4"/>
  <c r="C132" i="4" s="1"/>
  <c r="F131" i="4"/>
  <c r="H131" i="4" s="1"/>
  <c r="D131" i="4"/>
  <c r="B131" i="4"/>
  <c r="C131" i="4" s="1"/>
  <c r="E131" i="4" s="1"/>
  <c r="G131" i="4" s="1"/>
  <c r="I131" i="4" s="1"/>
  <c r="F130" i="4"/>
  <c r="D130" i="4"/>
  <c r="B130" i="4"/>
  <c r="C130" i="4" s="1"/>
  <c r="E130" i="4" s="1"/>
  <c r="G130" i="4" s="1"/>
  <c r="F129" i="4"/>
  <c r="D129" i="4"/>
  <c r="C129" i="4"/>
  <c r="E129" i="4" s="1"/>
  <c r="G129" i="4" s="1"/>
  <c r="B129" i="4"/>
  <c r="F128" i="4"/>
  <c r="D128" i="4"/>
  <c r="B128" i="4"/>
  <c r="C128" i="4" s="1"/>
  <c r="E128" i="4" s="1"/>
  <c r="G128" i="4" s="1"/>
  <c r="I128" i="4" s="1"/>
  <c r="F127" i="4"/>
  <c r="D127" i="4"/>
  <c r="B127" i="4"/>
  <c r="C127" i="4" s="1"/>
  <c r="E127" i="4" s="1"/>
  <c r="G127" i="4" s="1"/>
  <c r="F126" i="4"/>
  <c r="D126" i="4"/>
  <c r="B126" i="4"/>
  <c r="C126" i="4" s="1"/>
  <c r="F125" i="4"/>
  <c r="D125" i="4"/>
  <c r="B125" i="4"/>
  <c r="C125" i="4" s="1"/>
  <c r="E125" i="4" s="1"/>
  <c r="G125" i="4" s="1"/>
  <c r="F124" i="4"/>
  <c r="D124" i="4"/>
  <c r="B124" i="4"/>
  <c r="C124" i="4" s="1"/>
  <c r="E124" i="4" s="1"/>
  <c r="G124" i="4" s="1"/>
  <c r="F123" i="4"/>
  <c r="D123" i="4"/>
  <c r="B123" i="4"/>
  <c r="C123" i="4" s="1"/>
  <c r="E123" i="4" s="1"/>
  <c r="G123" i="4" s="1"/>
  <c r="F122" i="4"/>
  <c r="D122" i="4"/>
  <c r="B122" i="4"/>
  <c r="C122" i="4" s="1"/>
  <c r="E122" i="4" s="1"/>
  <c r="G122" i="4" s="1"/>
  <c r="F121" i="4"/>
  <c r="D121" i="4"/>
  <c r="B121" i="4"/>
  <c r="C121" i="4" s="1"/>
  <c r="E121" i="4" s="1"/>
  <c r="G121" i="4" s="1"/>
  <c r="F120" i="4"/>
  <c r="D120" i="4"/>
  <c r="B120" i="4"/>
  <c r="C120" i="4" s="1"/>
  <c r="E120" i="4" s="1"/>
  <c r="G120" i="4" s="1"/>
  <c r="I120" i="4" s="1"/>
  <c r="F119" i="4"/>
  <c r="D119" i="4"/>
  <c r="B119" i="4"/>
  <c r="C119" i="4" s="1"/>
  <c r="F118" i="4"/>
  <c r="D118" i="4"/>
  <c r="B118" i="4"/>
  <c r="C118" i="4" s="1"/>
  <c r="E118" i="4" s="1"/>
  <c r="G118" i="4" s="1"/>
  <c r="G117" i="4"/>
  <c r="I117" i="4" s="1"/>
  <c r="F117" i="4"/>
  <c r="D117" i="4"/>
  <c r="B117" i="4"/>
  <c r="C117" i="4" s="1"/>
  <c r="E117" i="4" s="1"/>
  <c r="F116" i="4"/>
  <c r="D116" i="4"/>
  <c r="C116" i="4"/>
  <c r="E116" i="4" s="1"/>
  <c r="G116" i="4" s="1"/>
  <c r="B116" i="4"/>
  <c r="F115" i="4"/>
  <c r="D115" i="4"/>
  <c r="B115" i="4"/>
  <c r="C115" i="4" s="1"/>
  <c r="E115" i="4" s="1"/>
  <c r="G115" i="4" s="1"/>
  <c r="F114" i="4"/>
  <c r="D114" i="4"/>
  <c r="B114" i="4"/>
  <c r="C114" i="4" s="1"/>
  <c r="E114" i="4" s="1"/>
  <c r="G114" i="4" s="1"/>
  <c r="I114" i="4" s="1"/>
  <c r="F113" i="4"/>
  <c r="D113" i="4"/>
  <c r="C113" i="4"/>
  <c r="E113" i="4" s="1"/>
  <c r="G113" i="4" s="1"/>
  <c r="B113" i="4"/>
  <c r="F112" i="4"/>
  <c r="D112" i="4"/>
  <c r="B112" i="4"/>
  <c r="C112" i="4" s="1"/>
  <c r="E112" i="4" s="1"/>
  <c r="G112" i="4" s="1"/>
  <c r="F111" i="4"/>
  <c r="D111" i="4"/>
  <c r="B111" i="4"/>
  <c r="C111" i="4" s="1"/>
  <c r="E111" i="4" s="1"/>
  <c r="G111" i="4" s="1"/>
  <c r="I111" i="4" s="1"/>
  <c r="F110" i="4"/>
  <c r="D110" i="4"/>
  <c r="E110" i="4" s="1"/>
  <c r="G110" i="4" s="1"/>
  <c r="B110" i="4"/>
  <c r="C110" i="4" s="1"/>
  <c r="F109" i="4"/>
  <c r="D109" i="4"/>
  <c r="B109" i="4"/>
  <c r="C109" i="4" s="1"/>
  <c r="E109" i="4" s="1"/>
  <c r="G109" i="4" s="1"/>
  <c r="F108" i="4"/>
  <c r="D108" i="4"/>
  <c r="B108" i="4"/>
  <c r="C108" i="4" s="1"/>
  <c r="E108" i="4" s="1"/>
  <c r="G108" i="4" s="1"/>
  <c r="I108" i="4" s="1"/>
  <c r="F107" i="4"/>
  <c r="D107" i="4"/>
  <c r="B107" i="4"/>
  <c r="C107" i="4" s="1"/>
  <c r="E107" i="4" s="1"/>
  <c r="G107" i="4" s="1"/>
  <c r="F106" i="4"/>
  <c r="D106" i="4"/>
  <c r="B106" i="4"/>
  <c r="C106" i="4" s="1"/>
  <c r="E106" i="4" s="1"/>
  <c r="G106" i="4" s="1"/>
  <c r="F105" i="4"/>
  <c r="E105" i="4"/>
  <c r="G105" i="4" s="1"/>
  <c r="D105" i="4"/>
  <c r="B105" i="4"/>
  <c r="C105" i="4" s="1"/>
  <c r="F104" i="4"/>
  <c r="D104" i="4"/>
  <c r="B104" i="4"/>
  <c r="C104" i="4" s="1"/>
  <c r="E104" i="4" s="1"/>
  <c r="G104" i="4" s="1"/>
  <c r="F103" i="4"/>
  <c r="D103" i="4"/>
  <c r="B103" i="4"/>
  <c r="C103" i="4" s="1"/>
  <c r="E103" i="4" s="1"/>
  <c r="G103" i="4" s="1"/>
  <c r="H103" i="4" s="1"/>
  <c r="F102" i="4"/>
  <c r="D102" i="4"/>
  <c r="B102" i="4"/>
  <c r="C102" i="4" s="1"/>
  <c r="F101" i="4"/>
  <c r="D101" i="4"/>
  <c r="B101" i="4"/>
  <c r="C101" i="4" s="1"/>
  <c r="E101" i="4" s="1"/>
  <c r="G101" i="4" s="1"/>
  <c r="F100" i="4"/>
  <c r="D100" i="4"/>
  <c r="B100" i="4"/>
  <c r="C100" i="4" s="1"/>
  <c r="E100" i="4" s="1"/>
  <c r="G100" i="4" s="1"/>
  <c r="G99" i="4"/>
  <c r="F99" i="4"/>
  <c r="D99" i="4"/>
  <c r="B99" i="4"/>
  <c r="C99" i="4" s="1"/>
  <c r="E99" i="4" s="1"/>
  <c r="F98" i="4"/>
  <c r="D98" i="4"/>
  <c r="B98" i="4"/>
  <c r="C98" i="4" s="1"/>
  <c r="E98" i="4" s="1"/>
  <c r="G98" i="4" s="1"/>
  <c r="F97" i="4"/>
  <c r="D97" i="4"/>
  <c r="C97" i="4"/>
  <c r="E97" i="4" s="1"/>
  <c r="G97" i="4" s="1"/>
  <c r="B97" i="4"/>
  <c r="F96" i="4"/>
  <c r="D96" i="4"/>
  <c r="B96" i="4"/>
  <c r="C96" i="4" s="1"/>
  <c r="E96" i="4" s="1"/>
  <c r="G96" i="4" s="1"/>
  <c r="F95" i="4"/>
  <c r="D95" i="4"/>
  <c r="B95" i="4"/>
  <c r="C95" i="4" s="1"/>
  <c r="E95" i="4" s="1"/>
  <c r="G95" i="4" s="1"/>
  <c r="F94" i="4"/>
  <c r="D94" i="4"/>
  <c r="B94" i="4"/>
  <c r="C94" i="4" s="1"/>
  <c r="E94" i="4" s="1"/>
  <c r="G94" i="4" s="1"/>
  <c r="F93" i="4"/>
  <c r="D93" i="4"/>
  <c r="B93" i="4"/>
  <c r="C93" i="4" s="1"/>
  <c r="E93" i="4" s="1"/>
  <c r="G93" i="4" s="1"/>
  <c r="F92" i="4"/>
  <c r="I92" i="4" s="1"/>
  <c r="D92" i="4"/>
  <c r="B92" i="4"/>
  <c r="C92" i="4" s="1"/>
  <c r="E92" i="4" s="1"/>
  <c r="G92" i="4" s="1"/>
  <c r="F91" i="4"/>
  <c r="D91" i="4"/>
  <c r="C91" i="4"/>
  <c r="B91" i="4"/>
  <c r="F90" i="4"/>
  <c r="D90" i="4"/>
  <c r="B90" i="4"/>
  <c r="C90" i="4" s="1"/>
  <c r="E90" i="4" s="1"/>
  <c r="G90" i="4" s="1"/>
  <c r="F89" i="4"/>
  <c r="D89" i="4"/>
  <c r="B89" i="4"/>
  <c r="C89" i="4" s="1"/>
  <c r="E89" i="4" s="1"/>
  <c r="G89" i="4" s="1"/>
  <c r="F88" i="4"/>
  <c r="D88" i="4"/>
  <c r="B88" i="4"/>
  <c r="C88" i="4" s="1"/>
  <c r="E88" i="4" s="1"/>
  <c r="G88" i="4" s="1"/>
  <c r="F87" i="4"/>
  <c r="D87" i="4"/>
  <c r="B87" i="4"/>
  <c r="C87" i="4" s="1"/>
  <c r="E87" i="4" s="1"/>
  <c r="G87" i="4" s="1"/>
  <c r="H87" i="4" s="1"/>
  <c r="F86" i="4"/>
  <c r="H86" i="4" s="1"/>
  <c r="D86" i="4"/>
  <c r="B86" i="4"/>
  <c r="C86" i="4" s="1"/>
  <c r="E86" i="4" s="1"/>
  <c r="G86" i="4" s="1"/>
  <c r="F85" i="4"/>
  <c r="D85" i="4"/>
  <c r="B85" i="4"/>
  <c r="C85" i="4" s="1"/>
  <c r="E85" i="4" s="1"/>
  <c r="G85" i="4" s="1"/>
  <c r="F84" i="4"/>
  <c r="D84" i="4"/>
  <c r="B84" i="4"/>
  <c r="C84" i="4" s="1"/>
  <c r="E84" i="4" s="1"/>
  <c r="G84" i="4" s="1"/>
  <c r="I84" i="4" s="1"/>
  <c r="F83" i="4"/>
  <c r="D83" i="4"/>
  <c r="B83" i="4"/>
  <c r="C83" i="4" s="1"/>
  <c r="F82" i="4"/>
  <c r="D82" i="4"/>
  <c r="B82" i="4"/>
  <c r="C82" i="4" s="1"/>
  <c r="E82" i="4" s="1"/>
  <c r="G82" i="4" s="1"/>
  <c r="F81" i="4"/>
  <c r="D81" i="4"/>
  <c r="B81" i="4"/>
  <c r="C81" i="4" s="1"/>
  <c r="E81" i="4" s="1"/>
  <c r="G81" i="4" s="1"/>
  <c r="I81" i="4" s="1"/>
  <c r="G80" i="4"/>
  <c r="F80" i="4"/>
  <c r="D80" i="4"/>
  <c r="B80" i="4"/>
  <c r="C80" i="4" s="1"/>
  <c r="E80" i="4" s="1"/>
  <c r="F79" i="4"/>
  <c r="D79" i="4"/>
  <c r="B79" i="4"/>
  <c r="C79" i="4" s="1"/>
  <c r="E79" i="4" s="1"/>
  <c r="G79" i="4" s="1"/>
  <c r="F78" i="4"/>
  <c r="D78" i="4"/>
  <c r="B78" i="4"/>
  <c r="C78" i="4" s="1"/>
  <c r="F77" i="4"/>
  <c r="D77" i="4"/>
  <c r="B77" i="4"/>
  <c r="C77" i="4" s="1"/>
  <c r="E77" i="4" s="1"/>
  <c r="G77" i="4" s="1"/>
  <c r="F76" i="4"/>
  <c r="D76" i="4"/>
  <c r="B76" i="4"/>
  <c r="C76" i="4" s="1"/>
  <c r="E76" i="4" s="1"/>
  <c r="G76" i="4" s="1"/>
  <c r="I76" i="4" s="1"/>
  <c r="F75" i="4"/>
  <c r="D75" i="4"/>
  <c r="B75" i="4"/>
  <c r="C75" i="4" s="1"/>
  <c r="E75" i="4" s="1"/>
  <c r="G75" i="4" s="1"/>
  <c r="I75" i="4" s="1"/>
  <c r="F74" i="4"/>
  <c r="D74" i="4"/>
  <c r="B74" i="4"/>
  <c r="C74" i="4" s="1"/>
  <c r="E74" i="4" s="1"/>
  <c r="G74" i="4" s="1"/>
  <c r="F73" i="4"/>
  <c r="D73" i="4"/>
  <c r="B73" i="4"/>
  <c r="C73" i="4" s="1"/>
  <c r="E73" i="4" s="1"/>
  <c r="G73" i="4" s="1"/>
  <c r="F72" i="4"/>
  <c r="D72" i="4"/>
  <c r="C72" i="4"/>
  <c r="E72" i="4" s="1"/>
  <c r="G72" i="4" s="1"/>
  <c r="I72" i="4" s="1"/>
  <c r="B72" i="4"/>
  <c r="F71" i="4"/>
  <c r="D71" i="4"/>
  <c r="B71" i="4"/>
  <c r="C71" i="4" s="1"/>
  <c r="E71" i="4" s="1"/>
  <c r="G71" i="4" s="1"/>
  <c r="F70" i="4"/>
  <c r="D70" i="4"/>
  <c r="B70" i="4"/>
  <c r="C70" i="4" s="1"/>
  <c r="E70" i="4" s="1"/>
  <c r="G70" i="4" s="1"/>
  <c r="F69" i="4"/>
  <c r="D69" i="4"/>
  <c r="B69" i="4"/>
  <c r="C69" i="4" s="1"/>
  <c r="E69" i="4" s="1"/>
  <c r="G69" i="4" s="1"/>
  <c r="F68" i="4"/>
  <c r="D68" i="4"/>
  <c r="B68" i="4"/>
  <c r="C68" i="4" s="1"/>
  <c r="E68" i="4" s="1"/>
  <c r="G68" i="4" s="1"/>
  <c r="F67" i="4"/>
  <c r="D67" i="4"/>
  <c r="B67" i="4"/>
  <c r="C67" i="4" s="1"/>
  <c r="F66" i="4"/>
  <c r="D66" i="4"/>
  <c r="B66" i="4"/>
  <c r="C66" i="4" s="1"/>
  <c r="E66" i="4" s="1"/>
  <c r="G66" i="4" s="1"/>
  <c r="F65" i="4"/>
  <c r="D65" i="4"/>
  <c r="B65" i="4"/>
  <c r="C65" i="4" s="1"/>
  <c r="E65" i="4" s="1"/>
  <c r="G65" i="4" s="1"/>
  <c r="F64" i="4"/>
  <c r="D64" i="4"/>
  <c r="B64" i="4"/>
  <c r="C64" i="4" s="1"/>
  <c r="E64" i="4" s="1"/>
  <c r="G64" i="4" s="1"/>
  <c r="I64" i="4" s="1"/>
  <c r="F63" i="4"/>
  <c r="D63" i="4"/>
  <c r="B63" i="4"/>
  <c r="C63" i="4" s="1"/>
  <c r="E63" i="4" s="1"/>
  <c r="G63" i="4" s="1"/>
  <c r="F62" i="4"/>
  <c r="D62" i="4"/>
  <c r="C62" i="4"/>
  <c r="B62" i="4"/>
  <c r="F61" i="4"/>
  <c r="D61" i="4"/>
  <c r="B61" i="4"/>
  <c r="C61" i="4" s="1"/>
  <c r="F60" i="4"/>
  <c r="D60" i="4"/>
  <c r="B60" i="4"/>
  <c r="C60" i="4" s="1"/>
  <c r="E60" i="4" s="1"/>
  <c r="G60" i="4" s="1"/>
  <c r="I60" i="4" s="1"/>
  <c r="F59" i="4"/>
  <c r="D59" i="4"/>
  <c r="B59" i="4"/>
  <c r="C59" i="4" s="1"/>
  <c r="E59" i="4" s="1"/>
  <c r="G59" i="4" s="1"/>
  <c r="F58" i="4"/>
  <c r="I58" i="4" s="1"/>
  <c r="D58" i="4"/>
  <c r="B58" i="4"/>
  <c r="C58" i="4" s="1"/>
  <c r="E58" i="4" s="1"/>
  <c r="G58" i="4" s="1"/>
  <c r="F57" i="4"/>
  <c r="D57" i="4"/>
  <c r="B57" i="4"/>
  <c r="C57" i="4" s="1"/>
  <c r="E57" i="4" s="1"/>
  <c r="G57" i="4" s="1"/>
  <c r="F56" i="4"/>
  <c r="D56" i="4"/>
  <c r="B56" i="4"/>
  <c r="C56" i="4" s="1"/>
  <c r="E56" i="4" s="1"/>
  <c r="G56" i="4" s="1"/>
  <c r="F55" i="4"/>
  <c r="D55" i="4"/>
  <c r="B55" i="4"/>
  <c r="C55" i="4" s="1"/>
  <c r="E55" i="4" s="1"/>
  <c r="G55" i="4" s="1"/>
  <c r="H55" i="4" s="1"/>
  <c r="F54" i="4"/>
  <c r="D54" i="4"/>
  <c r="B54" i="4"/>
  <c r="C54" i="4" s="1"/>
  <c r="E54" i="4" s="1"/>
  <c r="G54" i="4" s="1"/>
  <c r="I54" i="4" s="1"/>
  <c r="F53" i="4"/>
  <c r="D53" i="4"/>
  <c r="C53" i="4"/>
  <c r="E53" i="4" s="1"/>
  <c r="G53" i="4" s="1"/>
  <c r="B53" i="4"/>
  <c r="F52" i="4"/>
  <c r="D52" i="4"/>
  <c r="B52" i="4"/>
  <c r="C52" i="4" s="1"/>
  <c r="E52" i="4" s="1"/>
  <c r="G52" i="4" s="1"/>
  <c r="I52" i="4" s="1"/>
  <c r="F51" i="4"/>
  <c r="D51" i="4"/>
  <c r="B51" i="4"/>
  <c r="C51" i="4" s="1"/>
  <c r="E51" i="4" s="1"/>
  <c r="G51" i="4" s="1"/>
  <c r="F50" i="4"/>
  <c r="D50" i="4"/>
  <c r="B50" i="4"/>
  <c r="C50" i="4" s="1"/>
  <c r="E50" i="4" s="1"/>
  <c r="G50" i="4" s="1"/>
  <c r="F49" i="4"/>
  <c r="D49" i="4"/>
  <c r="B49" i="4"/>
  <c r="C49" i="4" s="1"/>
  <c r="E49" i="4" s="1"/>
  <c r="G49" i="4" s="1"/>
  <c r="I49" i="4" s="1"/>
  <c r="F48" i="4"/>
  <c r="D48" i="4"/>
  <c r="B48" i="4"/>
  <c r="C48" i="4" s="1"/>
  <c r="E48" i="4" s="1"/>
  <c r="G48" i="4" s="1"/>
  <c r="F47" i="4"/>
  <c r="D47" i="4"/>
  <c r="B47" i="4"/>
  <c r="C47" i="4" s="1"/>
  <c r="E47" i="4" s="1"/>
  <c r="G47" i="4" s="1"/>
  <c r="F46" i="4"/>
  <c r="D46" i="4"/>
  <c r="C46" i="4"/>
  <c r="E46" i="4" s="1"/>
  <c r="G46" i="4" s="1"/>
  <c r="B46" i="4"/>
  <c r="F45" i="4"/>
  <c r="D45" i="4"/>
  <c r="B45" i="4"/>
  <c r="C45" i="4" s="1"/>
  <c r="E45" i="4" s="1"/>
  <c r="G45" i="4" s="1"/>
  <c r="F44" i="4"/>
  <c r="D44" i="4"/>
  <c r="B44" i="4"/>
  <c r="C44" i="4" s="1"/>
  <c r="E44" i="4" s="1"/>
  <c r="G44" i="4" s="1"/>
  <c r="I44" i="4" s="1"/>
  <c r="F43" i="4"/>
  <c r="D43" i="4"/>
  <c r="B43" i="4"/>
  <c r="C43" i="4" s="1"/>
  <c r="E43" i="4" s="1"/>
  <c r="G43" i="4" s="1"/>
  <c r="F42" i="4"/>
  <c r="D42" i="4"/>
  <c r="B42" i="4"/>
  <c r="C42" i="4" s="1"/>
  <c r="E42" i="4" s="1"/>
  <c r="G42" i="4" s="1"/>
  <c r="G41" i="4"/>
  <c r="F41" i="4"/>
  <c r="D41" i="4"/>
  <c r="C41" i="4"/>
  <c r="E41" i="4" s="1"/>
  <c r="B41" i="4"/>
  <c r="F40" i="4"/>
  <c r="D40" i="4"/>
  <c r="B40" i="4"/>
  <c r="C40" i="4" s="1"/>
  <c r="E40" i="4" s="1"/>
  <c r="G40" i="4" s="1"/>
  <c r="F39" i="4"/>
  <c r="D39" i="4"/>
  <c r="B39" i="4"/>
  <c r="C39" i="4" s="1"/>
  <c r="E39" i="4" s="1"/>
  <c r="G39" i="4" s="1"/>
  <c r="F38" i="4"/>
  <c r="D38" i="4"/>
  <c r="B38" i="4"/>
  <c r="C38" i="4" s="1"/>
  <c r="E38" i="4" s="1"/>
  <c r="G38" i="4" s="1"/>
  <c r="F37" i="4"/>
  <c r="D37" i="4"/>
  <c r="B37" i="4"/>
  <c r="C37" i="4" s="1"/>
  <c r="E37" i="4" s="1"/>
  <c r="G37" i="4" s="1"/>
  <c r="F36" i="4"/>
  <c r="D36" i="4"/>
  <c r="B36" i="4"/>
  <c r="C36" i="4" s="1"/>
  <c r="F35" i="4"/>
  <c r="D35" i="4"/>
  <c r="B35" i="4"/>
  <c r="C35" i="4" s="1"/>
  <c r="F34" i="4"/>
  <c r="D34" i="4"/>
  <c r="B34" i="4"/>
  <c r="C34" i="4" s="1"/>
  <c r="E34" i="4" s="1"/>
  <c r="G34" i="4" s="1"/>
  <c r="F33" i="4"/>
  <c r="D33" i="4"/>
  <c r="C33" i="4"/>
  <c r="E33" i="4" s="1"/>
  <c r="G33" i="4" s="1"/>
  <c r="B33" i="4"/>
  <c r="F32" i="4"/>
  <c r="D32" i="4"/>
  <c r="B32" i="4"/>
  <c r="C32" i="4" s="1"/>
  <c r="E32" i="4" s="1"/>
  <c r="G32" i="4" s="1"/>
  <c r="F31" i="4"/>
  <c r="D31" i="4"/>
  <c r="B31" i="4"/>
  <c r="C31" i="4" s="1"/>
  <c r="E31" i="4" s="1"/>
  <c r="G31" i="4" s="1"/>
  <c r="G30" i="4"/>
  <c r="I30" i="4" s="1"/>
  <c r="F30" i="4"/>
  <c r="D30" i="4"/>
  <c r="C30" i="4"/>
  <c r="E30" i="4" s="1"/>
  <c r="B30" i="4"/>
  <c r="F29" i="4"/>
  <c r="D29" i="4"/>
  <c r="B29" i="4"/>
  <c r="C29" i="4" s="1"/>
  <c r="E29" i="4" s="1"/>
  <c r="G29" i="4" s="1"/>
  <c r="F28" i="4"/>
  <c r="D28" i="4"/>
  <c r="B28" i="4"/>
  <c r="C28" i="4" s="1"/>
  <c r="E28" i="4" s="1"/>
  <c r="G28" i="4" s="1"/>
  <c r="F27" i="4"/>
  <c r="D27" i="4"/>
  <c r="B27" i="4"/>
  <c r="C27" i="4" s="1"/>
  <c r="E27" i="4" s="1"/>
  <c r="G27" i="4" s="1"/>
  <c r="F26" i="4"/>
  <c r="D26" i="4"/>
  <c r="B26" i="4"/>
  <c r="C26" i="4" s="1"/>
  <c r="F25" i="4"/>
  <c r="D25" i="4"/>
  <c r="B25" i="4"/>
  <c r="C25" i="4" s="1"/>
  <c r="F24" i="4"/>
  <c r="D24" i="4"/>
  <c r="E24" i="4" s="1"/>
  <c r="G24" i="4" s="1"/>
  <c r="B24" i="4"/>
  <c r="C24" i="4" s="1"/>
  <c r="F23" i="4"/>
  <c r="D23" i="4"/>
  <c r="B23" i="4"/>
  <c r="C23" i="4" s="1"/>
  <c r="E23" i="4" s="1"/>
  <c r="G23" i="4" s="1"/>
  <c r="F22" i="4"/>
  <c r="I22" i="4" s="1"/>
  <c r="D22" i="4"/>
  <c r="B22" i="4"/>
  <c r="C22" i="4" s="1"/>
  <c r="E22" i="4" s="1"/>
  <c r="G22" i="4" s="1"/>
  <c r="F21" i="4"/>
  <c r="D21" i="4"/>
  <c r="B21" i="4"/>
  <c r="C21" i="4" s="1"/>
  <c r="E21" i="4" s="1"/>
  <c r="G21" i="4" s="1"/>
  <c r="F20" i="4"/>
  <c r="D20" i="4"/>
  <c r="B20" i="4"/>
  <c r="C20" i="4" s="1"/>
  <c r="E20" i="4" s="1"/>
  <c r="G20" i="4" s="1"/>
  <c r="F19" i="4"/>
  <c r="D19" i="4"/>
  <c r="B19" i="4"/>
  <c r="C19" i="4" s="1"/>
  <c r="F18" i="4"/>
  <c r="D18" i="4"/>
  <c r="B18" i="4"/>
  <c r="C18" i="4" s="1"/>
  <c r="E18" i="4" s="1"/>
  <c r="G18" i="4" s="1"/>
  <c r="F17" i="4"/>
  <c r="D17" i="4"/>
  <c r="B17" i="4"/>
  <c r="C17" i="4" s="1"/>
  <c r="E17" i="4" s="1"/>
  <c r="G17" i="4" s="1"/>
  <c r="F16" i="4"/>
  <c r="D16" i="4"/>
  <c r="B16" i="4"/>
  <c r="C16" i="4" s="1"/>
  <c r="E16" i="4" s="1"/>
  <c r="G16" i="4" s="1"/>
  <c r="F15" i="4"/>
  <c r="D15" i="4"/>
  <c r="C15" i="4"/>
  <c r="E15" i="4" s="1"/>
  <c r="G15" i="4" s="1"/>
  <c r="B15" i="4"/>
  <c r="F14" i="4"/>
  <c r="D14" i="4"/>
  <c r="B14" i="4"/>
  <c r="C14" i="4" s="1"/>
  <c r="E14" i="4" s="1"/>
  <c r="G14" i="4" s="1"/>
  <c r="I14" i="4" s="1"/>
  <c r="F13" i="4"/>
  <c r="D13" i="4"/>
  <c r="B13" i="4"/>
  <c r="C13" i="4" s="1"/>
  <c r="E13" i="4" s="1"/>
  <c r="G13" i="4" s="1"/>
  <c r="I13" i="4" s="1"/>
  <c r="F12" i="4"/>
  <c r="D12" i="4"/>
  <c r="C12" i="4"/>
  <c r="B12" i="4"/>
  <c r="F11" i="4"/>
  <c r="D11" i="4"/>
  <c r="B11" i="4"/>
  <c r="C11" i="4" s="1"/>
  <c r="F10" i="4"/>
  <c r="D10" i="4"/>
  <c r="B10" i="4"/>
  <c r="C10" i="4" s="1"/>
  <c r="E10" i="4" s="1"/>
  <c r="G10" i="4" s="1"/>
  <c r="I10" i="4" s="1"/>
  <c r="F9" i="4"/>
  <c r="D9" i="4"/>
  <c r="B9" i="4"/>
  <c r="C9" i="4" s="1"/>
  <c r="E9" i="4" s="1"/>
  <c r="G9" i="4" s="1"/>
  <c r="F8" i="4"/>
  <c r="D8" i="4"/>
  <c r="B8" i="4"/>
  <c r="C8" i="4" s="1"/>
  <c r="E8" i="4" s="1"/>
  <c r="G8" i="4" s="1"/>
  <c r="F7" i="4"/>
  <c r="D7" i="4"/>
  <c r="B7" i="4"/>
  <c r="C7" i="4" s="1"/>
  <c r="E7" i="4" s="1"/>
  <c r="G7" i="4" s="1"/>
  <c r="F6" i="4"/>
  <c r="D6" i="4"/>
  <c r="B6" i="4"/>
  <c r="C6" i="4" s="1"/>
  <c r="E6" i="4" s="1"/>
  <c r="G6" i="4" s="1"/>
  <c r="F5" i="4"/>
  <c r="D5" i="4"/>
  <c r="B5" i="4"/>
  <c r="C5" i="4" s="1"/>
  <c r="E5" i="4" s="1"/>
  <c r="G5" i="4" s="1"/>
  <c r="F4" i="4"/>
  <c r="D4" i="4"/>
  <c r="B4" i="4"/>
  <c r="C4" i="4" s="1"/>
  <c r="E4" i="4" s="1"/>
  <c r="G4" i="4" s="1"/>
  <c r="B15" i="3"/>
  <c r="B13" i="3"/>
  <c r="B6" i="3"/>
  <c r="B5" i="3"/>
  <c r="B19" i="3" s="1"/>
  <c r="B4" i="3"/>
  <c r="B10" i="3" s="1"/>
  <c r="B3" i="3"/>
  <c r="B9" i="3" s="1"/>
  <c r="I370" i="4" l="1"/>
  <c r="H370" i="4"/>
  <c r="I339" i="4"/>
  <c r="I219" i="4"/>
  <c r="H219" i="4"/>
  <c r="I126" i="4"/>
  <c r="H392" i="4"/>
  <c r="I99" i="4"/>
  <c r="I895" i="4"/>
  <c r="H895" i="4"/>
  <c r="I121" i="4"/>
  <c r="H704" i="4"/>
  <c r="I704" i="4"/>
  <c r="H772" i="4"/>
  <c r="I772" i="4"/>
  <c r="I844" i="4"/>
  <c r="H844" i="4"/>
  <c r="H176" i="4"/>
  <c r="H22" i="4"/>
  <c r="I358" i="4"/>
  <c r="I7" i="4"/>
  <c r="I350" i="4"/>
  <c r="H425" i="4"/>
  <c r="H532" i="4"/>
  <c r="H200" i="4"/>
  <c r="B14" i="3"/>
  <c r="B16" i="3"/>
  <c r="I157" i="4"/>
  <c r="H230" i="4"/>
  <c r="I241" i="4"/>
  <c r="H671" i="4"/>
  <c r="I89" i="4"/>
  <c r="H97" i="4"/>
  <c r="I149" i="4"/>
  <c r="I273" i="4"/>
  <c r="I288" i="4"/>
  <c r="H306" i="4"/>
  <c r="I558" i="4"/>
  <c r="E176" i="4"/>
  <c r="G176" i="4" s="1"/>
  <c r="I176" i="4" s="1"/>
  <c r="I462" i="4"/>
  <c r="H462" i="4"/>
  <c r="H511" i="4"/>
  <c r="I511" i="4"/>
  <c r="I639" i="4"/>
  <c r="H639" i="4"/>
  <c r="H202" i="4"/>
  <c r="H335" i="4"/>
  <c r="H506" i="4"/>
  <c r="H562" i="4"/>
  <c r="H806" i="4"/>
  <c r="I806" i="4"/>
  <c r="H7" i="4"/>
  <c r="I846" i="4"/>
  <c r="H846" i="4"/>
  <c r="H361" i="4"/>
  <c r="H840" i="4"/>
  <c r="I840" i="4"/>
  <c r="H956" i="4"/>
  <c r="I956" i="4"/>
  <c r="E12" i="4"/>
  <c r="G12" i="4" s="1"/>
  <c r="H12" i="4" s="1"/>
  <c r="E62" i="4"/>
  <c r="G62" i="4" s="1"/>
  <c r="H62" i="4" s="1"/>
  <c r="E211" i="4"/>
  <c r="G211" i="4" s="1"/>
  <c r="I211" i="4" s="1"/>
  <c r="I217" i="4"/>
  <c r="I265" i="4"/>
  <c r="H265" i="4"/>
  <c r="I317" i="4"/>
  <c r="E407" i="4"/>
  <c r="G407" i="4" s="1"/>
  <c r="H407" i="4" s="1"/>
  <c r="I508" i="4"/>
  <c r="I377" i="4"/>
  <c r="I467" i="4"/>
  <c r="H467" i="4"/>
  <c r="I706" i="4"/>
  <c r="H706" i="4"/>
  <c r="E746" i="4"/>
  <c r="G746" i="4" s="1"/>
  <c r="H746" i="4" s="1"/>
  <c r="E859" i="4"/>
  <c r="G859" i="4" s="1"/>
  <c r="H276" i="4"/>
  <c r="I276" i="4"/>
  <c r="I332" i="4"/>
  <c r="I603" i="4"/>
  <c r="H603" i="4"/>
  <c r="H556" i="4"/>
  <c r="H628" i="4"/>
  <c r="E667" i="4"/>
  <c r="G667" i="4" s="1"/>
  <c r="I789" i="4"/>
  <c r="H890" i="4"/>
  <c r="I669" i="4"/>
  <c r="H669" i="4"/>
  <c r="I679" i="4"/>
  <c r="I741" i="4"/>
  <c r="I879" i="4"/>
  <c r="H879" i="4"/>
  <c r="E26" i="4"/>
  <c r="G26" i="4" s="1"/>
  <c r="I26" i="4" s="1"/>
  <c r="H380" i="4"/>
  <c r="I495" i="4"/>
  <c r="H495" i="4"/>
  <c r="E500" i="4"/>
  <c r="G500" i="4" s="1"/>
  <c r="H760" i="4"/>
  <c r="H901" i="4"/>
  <c r="I29" i="4"/>
  <c r="H58" i="4"/>
  <c r="I71" i="4"/>
  <c r="E119" i="4"/>
  <c r="G119" i="4" s="1"/>
  <c r="H119" i="4" s="1"/>
  <c r="I171" i="4"/>
  <c r="I250" i="4"/>
  <c r="I287" i="4"/>
  <c r="I308" i="4"/>
  <c r="I313" i="4"/>
  <c r="I338" i="4"/>
  <c r="I398" i="4"/>
  <c r="H485" i="4"/>
  <c r="E19" i="4"/>
  <c r="G19" i="4" s="1"/>
  <c r="I19" i="4" s="1"/>
  <c r="E35" i="4"/>
  <c r="G35" i="4" s="1"/>
  <c r="H35" i="4" s="1"/>
  <c r="I104" i="4"/>
  <c r="H116" i="4"/>
  <c r="I139" i="4"/>
  <c r="H250" i="4"/>
  <c r="E264" i="4"/>
  <c r="G264" i="4" s="1"/>
  <c r="I264" i="4" s="1"/>
  <c r="I269" i="4"/>
  <c r="I271" i="4"/>
  <c r="E277" i="4"/>
  <c r="G277" i="4" s="1"/>
  <c r="H277" i="4" s="1"/>
  <c r="I298" i="4"/>
  <c r="I305" i="4"/>
  <c r="I333" i="4"/>
  <c r="I351" i="4"/>
  <c r="H403" i="4"/>
  <c r="I429" i="4"/>
  <c r="I476" i="4"/>
  <c r="E498" i="4"/>
  <c r="G498" i="4" s="1"/>
  <c r="I498" i="4" s="1"/>
  <c r="E534" i="4"/>
  <c r="G534" i="4" s="1"/>
  <c r="H534" i="4" s="1"/>
  <c r="E615" i="4"/>
  <c r="G615" i="4" s="1"/>
  <c r="I615" i="4" s="1"/>
  <c r="H626" i="4"/>
  <c r="I626" i="4"/>
  <c r="E719" i="4"/>
  <c r="G719" i="4" s="1"/>
  <c r="E834" i="4"/>
  <c r="G834" i="4" s="1"/>
  <c r="H834" i="4" s="1"/>
  <c r="E968" i="4"/>
  <c r="G968" i="4" s="1"/>
  <c r="H968" i="4" s="1"/>
  <c r="H970" i="4"/>
  <c r="E61" i="4"/>
  <c r="G61" i="4" s="1"/>
  <c r="H61" i="4" s="1"/>
  <c r="H662" i="4"/>
  <c r="E210" i="4"/>
  <c r="G210" i="4" s="1"/>
  <c r="I210" i="4" s="1"/>
  <c r="H381" i="4"/>
  <c r="I448" i="4"/>
  <c r="H471" i="4"/>
  <c r="H480" i="4"/>
  <c r="I665" i="4"/>
  <c r="I719" i="4"/>
  <c r="I823" i="4"/>
  <c r="E11" i="4"/>
  <c r="G11" i="4" s="1"/>
  <c r="H11" i="4" s="1"/>
  <c r="E161" i="4"/>
  <c r="G161" i="4" s="1"/>
  <c r="H161" i="4" s="1"/>
  <c r="I166" i="4"/>
  <c r="E303" i="4"/>
  <c r="G303" i="4" s="1"/>
  <c r="I303" i="4" s="1"/>
  <c r="I455" i="4"/>
  <c r="E91" i="4"/>
  <c r="G91" i="4" s="1"/>
  <c r="H112" i="4"/>
  <c r="I293" i="4"/>
  <c r="E25" i="4"/>
  <c r="G25" i="4" s="1"/>
  <c r="I25" i="4" s="1"/>
  <c r="E67" i="4"/>
  <c r="G67" i="4" s="1"/>
  <c r="H67" i="4" s="1"/>
  <c r="E78" i="4"/>
  <c r="G78" i="4" s="1"/>
  <c r="I78" i="4" s="1"/>
  <c r="E83" i="4"/>
  <c r="G83" i="4" s="1"/>
  <c r="H83" i="4" s="1"/>
  <c r="E102" i="4"/>
  <c r="G102" i="4" s="1"/>
  <c r="I102" i="4" s="1"/>
  <c r="E126" i="4"/>
  <c r="G126" i="4" s="1"/>
  <c r="H126" i="4" s="1"/>
  <c r="I134" i="4"/>
  <c r="E137" i="4"/>
  <c r="G137" i="4" s="1"/>
  <c r="I142" i="4"/>
  <c r="E178" i="4"/>
  <c r="G178" i="4" s="1"/>
  <c r="E186" i="4"/>
  <c r="G186" i="4" s="1"/>
  <c r="E189" i="4"/>
  <c r="G189" i="4" s="1"/>
  <c r="H189" i="4" s="1"/>
  <c r="H220" i="4"/>
  <c r="E226" i="4"/>
  <c r="G226" i="4" s="1"/>
  <c r="I226" i="4" s="1"/>
  <c r="H262" i="4"/>
  <c r="I278" i="4"/>
  <c r="E392" i="4"/>
  <c r="G392" i="4" s="1"/>
  <c r="I392" i="4" s="1"/>
  <c r="H406" i="4"/>
  <c r="E438" i="4"/>
  <c r="G438" i="4" s="1"/>
  <c r="I438" i="4" s="1"/>
  <c r="E486" i="4"/>
  <c r="G486" i="4" s="1"/>
  <c r="H486" i="4" s="1"/>
  <c r="H491" i="4"/>
  <c r="I510" i="4"/>
  <c r="H526" i="4"/>
  <c r="I526" i="4"/>
  <c r="I618" i="4"/>
  <c r="E641" i="4"/>
  <c r="G641" i="4" s="1"/>
  <c r="H641" i="4" s="1"/>
  <c r="E647" i="4"/>
  <c r="G647" i="4" s="1"/>
  <c r="E650" i="4"/>
  <c r="G650" i="4" s="1"/>
  <c r="E692" i="4"/>
  <c r="G692" i="4" s="1"/>
  <c r="I692" i="4" s="1"/>
  <c r="I743" i="4"/>
  <c r="H757" i="4"/>
  <c r="I757" i="4"/>
  <c r="E224" i="4"/>
  <c r="G224" i="4" s="1"/>
  <c r="I224" i="4" s="1"/>
  <c r="I229" i="4"/>
  <c r="H310" i="4"/>
  <c r="I318" i="4"/>
  <c r="E339" i="4"/>
  <c r="G339" i="4" s="1"/>
  <c r="E399" i="4"/>
  <c r="G399" i="4" s="1"/>
  <c r="I399" i="4" s="1"/>
  <c r="E433" i="4"/>
  <c r="G433" i="4" s="1"/>
  <c r="I433" i="4" s="1"/>
  <c r="I435" i="4"/>
  <c r="I593" i="4"/>
  <c r="I600" i="4"/>
  <c r="E616" i="4"/>
  <c r="G616" i="4" s="1"/>
  <c r="H616" i="4" s="1"/>
  <c r="H623" i="4"/>
  <c r="E632" i="4"/>
  <c r="G632" i="4" s="1"/>
  <c r="H632" i="4" s="1"/>
  <c r="E696" i="4"/>
  <c r="G696" i="4" s="1"/>
  <c r="E758" i="4"/>
  <c r="G758" i="4" s="1"/>
  <c r="I815" i="4"/>
  <c r="E922" i="4"/>
  <c r="G922" i="4" s="1"/>
  <c r="E925" i="4"/>
  <c r="G925" i="4" s="1"/>
  <c r="I925" i="4" s="1"/>
  <c r="E933" i="4"/>
  <c r="G933" i="4" s="1"/>
  <c r="H933" i="4" s="1"/>
  <c r="I939" i="4"/>
  <c r="H939" i="4"/>
  <c r="H982" i="4"/>
  <c r="H991" i="4"/>
  <c r="E656" i="4"/>
  <c r="G656" i="4" s="1"/>
  <c r="H755" i="4"/>
  <c r="E766" i="4"/>
  <c r="G766" i="4" s="1"/>
  <c r="E841" i="4"/>
  <c r="G841" i="4" s="1"/>
  <c r="E908" i="4"/>
  <c r="G908" i="4" s="1"/>
  <c r="H908" i="4" s="1"/>
  <c r="I974" i="4"/>
  <c r="E983" i="4"/>
  <c r="G983" i="4" s="1"/>
  <c r="H983" i="4" s="1"/>
  <c r="I999" i="4"/>
  <c r="H598" i="4"/>
  <c r="I630" i="4"/>
  <c r="I654" i="4"/>
  <c r="H691" i="4"/>
  <c r="H712" i="4"/>
  <c r="I814" i="4"/>
  <c r="H814" i="4"/>
  <c r="H842" i="4"/>
  <c r="I842" i="4"/>
  <c r="I975" i="4"/>
  <c r="H975" i="4"/>
  <c r="E132" i="4"/>
  <c r="G132" i="4" s="1"/>
  <c r="H132" i="4" s="1"/>
  <c r="I154" i="4"/>
  <c r="H170" i="4"/>
  <c r="I242" i="4"/>
  <c r="E267" i="4"/>
  <c r="G267" i="4" s="1"/>
  <c r="I267" i="4" s="1"/>
  <c r="H279" i="4"/>
  <c r="E294" i="4"/>
  <c r="G294" i="4" s="1"/>
  <c r="H294" i="4" s="1"/>
  <c r="I364" i="4"/>
  <c r="E388" i="4"/>
  <c r="G388" i="4" s="1"/>
  <c r="I388" i="4" s="1"/>
  <c r="H437" i="4"/>
  <c r="H517" i="4"/>
  <c r="E569" i="4"/>
  <c r="G569" i="4" s="1"/>
  <c r="E574" i="4"/>
  <c r="G574" i="4" s="1"/>
  <c r="I659" i="4"/>
  <c r="I661" i="4"/>
  <c r="H661" i="4"/>
  <c r="H673" i="4"/>
  <c r="E681" i="4"/>
  <c r="G681" i="4" s="1"/>
  <c r="I681" i="4" s="1"/>
  <c r="E689" i="4"/>
  <c r="G689" i="4" s="1"/>
  <c r="H689" i="4" s="1"/>
  <c r="E710" i="4"/>
  <c r="G710" i="4" s="1"/>
  <c r="I710" i="4" s="1"/>
  <c r="E761" i="4"/>
  <c r="G761" i="4" s="1"/>
  <c r="E778" i="4"/>
  <c r="G778" i="4" s="1"/>
  <c r="I778" i="4" s="1"/>
  <c r="E886" i="4"/>
  <c r="G886" i="4" s="1"/>
  <c r="E965" i="4"/>
  <c r="G965" i="4" s="1"/>
  <c r="E239" i="4"/>
  <c r="G239" i="4" s="1"/>
  <c r="I239" i="4" s="1"/>
  <c r="I291" i="4"/>
  <c r="E363" i="4"/>
  <c r="G363" i="4" s="1"/>
  <c r="I363" i="4" s="1"/>
  <c r="I373" i="4"/>
  <c r="E384" i="4"/>
  <c r="G384" i="4" s="1"/>
  <c r="I384" i="4" s="1"/>
  <c r="E405" i="4"/>
  <c r="G405" i="4" s="1"/>
  <c r="I405" i="4" s="1"/>
  <c r="E577" i="4"/>
  <c r="G577" i="4" s="1"/>
  <c r="H577" i="4" s="1"/>
  <c r="H581" i="4"/>
  <c r="E589" i="4"/>
  <c r="G589" i="4" s="1"/>
  <c r="H622" i="4"/>
  <c r="E625" i="4"/>
  <c r="G625" i="4" s="1"/>
  <c r="I625" i="4" s="1"/>
  <c r="E673" i="4"/>
  <c r="G673" i="4" s="1"/>
  <c r="I673" i="4" s="1"/>
  <c r="E676" i="4"/>
  <c r="G676" i="4" s="1"/>
  <c r="E694" i="4"/>
  <c r="G694" i="4" s="1"/>
  <c r="I694" i="4" s="1"/>
  <c r="I870" i="4"/>
  <c r="H931" i="4"/>
  <c r="E948" i="4"/>
  <c r="G948" i="4" s="1"/>
  <c r="H948" i="4" s="1"/>
  <c r="E976" i="4"/>
  <c r="G976" i="4" s="1"/>
  <c r="I978" i="4"/>
  <c r="H683" i="4"/>
  <c r="E699" i="4"/>
  <c r="G699" i="4" s="1"/>
  <c r="I699" i="4" s="1"/>
  <c r="E702" i="4"/>
  <c r="G702" i="4" s="1"/>
  <c r="I740" i="4"/>
  <c r="I746" i="4"/>
  <c r="E793" i="4"/>
  <c r="G793" i="4" s="1"/>
  <c r="I793" i="4" s="1"/>
  <c r="E798" i="4"/>
  <c r="G798" i="4" s="1"/>
  <c r="I798" i="4" s="1"/>
  <c r="E850" i="4"/>
  <c r="G850" i="4" s="1"/>
  <c r="H850" i="4" s="1"/>
  <c r="E921" i="4"/>
  <c r="G921" i="4" s="1"/>
  <c r="E929" i="4"/>
  <c r="G929" i="4" s="1"/>
  <c r="E946" i="4"/>
  <c r="G946" i="4" s="1"/>
  <c r="E729" i="4"/>
  <c r="G729" i="4" s="1"/>
  <c r="H729" i="4" s="1"/>
  <c r="E762" i="4"/>
  <c r="G762" i="4" s="1"/>
  <c r="I773" i="4"/>
  <c r="E848" i="4"/>
  <c r="G848" i="4" s="1"/>
  <c r="I853" i="4"/>
  <c r="I981" i="4"/>
  <c r="I458" i="4"/>
  <c r="E492" i="4"/>
  <c r="G492" i="4" s="1"/>
  <c r="I492" i="4" s="1"/>
  <c r="E503" i="4"/>
  <c r="G503" i="4" s="1"/>
  <c r="I503" i="4" s="1"/>
  <c r="H568" i="4"/>
  <c r="I586" i="4"/>
  <c r="E764" i="4"/>
  <c r="G764" i="4" s="1"/>
  <c r="I764" i="4" s="1"/>
  <c r="H769" i="4"/>
  <c r="H812" i="4"/>
  <c r="E838" i="4"/>
  <c r="G838" i="4" s="1"/>
  <c r="I838" i="4" s="1"/>
  <c r="H935" i="4"/>
  <c r="E955" i="4"/>
  <c r="G955" i="4" s="1"/>
  <c r="E964" i="4"/>
  <c r="G964" i="4" s="1"/>
  <c r="E982" i="4"/>
  <c r="G982" i="4" s="1"/>
  <c r="I982" i="4" s="1"/>
  <c r="E582" i="4"/>
  <c r="G582" i="4" s="1"/>
  <c r="E604" i="4"/>
  <c r="G604" i="4" s="1"/>
  <c r="I604" i="4" s="1"/>
  <c r="H612" i="4"/>
  <c r="E648" i="4"/>
  <c r="G648" i="4" s="1"/>
  <c r="I648" i="4" s="1"/>
  <c r="I655" i="4"/>
  <c r="E658" i="4"/>
  <c r="G658" i="4" s="1"/>
  <c r="I658" i="4" s="1"/>
  <c r="H666" i="4"/>
  <c r="I680" i="4"/>
  <c r="I682" i="4"/>
  <c r="H723" i="4"/>
  <c r="I725" i="4"/>
  <c r="E733" i="4"/>
  <c r="G733" i="4" s="1"/>
  <c r="I733" i="4" s="1"/>
  <c r="H851" i="4"/>
  <c r="I863" i="4"/>
  <c r="E894" i="4"/>
  <c r="G894" i="4" s="1"/>
  <c r="E912" i="4"/>
  <c r="G912" i="4" s="1"/>
  <c r="H995" i="4"/>
  <c r="I997" i="4"/>
  <c r="E1000" i="4"/>
  <c r="G1000" i="4" s="1"/>
  <c r="H1000" i="4" s="1"/>
  <c r="E1003" i="4"/>
  <c r="G1003" i="4" s="1"/>
  <c r="I860" i="4"/>
  <c r="H865" i="4"/>
  <c r="H918" i="4"/>
  <c r="I920" i="4"/>
  <c r="I826" i="4"/>
  <c r="E847" i="4"/>
  <c r="G847" i="4" s="1"/>
  <c r="H847" i="4" s="1"/>
  <c r="I865" i="4"/>
  <c r="E874" i="4"/>
  <c r="G874" i="4" s="1"/>
  <c r="I874" i="4" s="1"/>
  <c r="H880" i="4"/>
  <c r="H920" i="4"/>
  <c r="I178" i="4"/>
  <c r="H178" i="4"/>
  <c r="I173" i="4"/>
  <c r="H173" i="4"/>
  <c r="I214" i="4"/>
  <c r="H214" i="4"/>
  <c r="H163" i="4"/>
  <c r="I163" i="4"/>
  <c r="H397" i="4"/>
  <c r="I397" i="4"/>
  <c r="H372" i="4"/>
  <c r="I372" i="4"/>
  <c r="I91" i="4"/>
  <c r="H91" i="4"/>
  <c r="I337" i="4"/>
  <c r="H337" i="4"/>
  <c r="I123" i="4"/>
  <c r="H123" i="4"/>
  <c r="H254" i="4"/>
  <c r="I254" i="4"/>
  <c r="H33" i="4"/>
  <c r="I33" i="4"/>
  <c r="I161" i="4"/>
  <c r="H292" i="4"/>
  <c r="I292" i="4"/>
  <c r="I38" i="4"/>
  <c r="H38" i="4"/>
  <c r="H18" i="4"/>
  <c r="I18" i="4"/>
  <c r="H183" i="4"/>
  <c r="I183" i="4"/>
  <c r="I252" i="4"/>
  <c r="H252" i="4"/>
  <c r="I664" i="4"/>
  <c r="H664" i="4"/>
  <c r="H155" i="4"/>
  <c r="I17" i="4"/>
  <c r="H17" i="4"/>
  <c r="I46" i="4"/>
  <c r="H46" i="4"/>
  <c r="I190" i="4"/>
  <c r="H190" i="4"/>
  <c r="I360" i="4"/>
  <c r="H360" i="4"/>
  <c r="I122" i="4"/>
  <c r="H122" i="4"/>
  <c r="I182" i="4"/>
  <c r="H182" i="4"/>
  <c r="I198" i="4"/>
  <c r="H198" i="4"/>
  <c r="I236" i="4"/>
  <c r="H236" i="4"/>
  <c r="I256" i="4"/>
  <c r="H256" i="4"/>
  <c r="I346" i="4"/>
  <c r="H346" i="4"/>
  <c r="H367" i="4"/>
  <c r="I367" i="4"/>
  <c r="I570" i="4"/>
  <c r="I28" i="4"/>
  <c r="H28" i="4"/>
  <c r="H37" i="4"/>
  <c r="H69" i="4"/>
  <c r="H125" i="4"/>
  <c r="I125" i="4"/>
  <c r="I135" i="4"/>
  <c r="H135" i="4"/>
  <c r="H167" i="4"/>
  <c r="I167" i="4"/>
  <c r="H211" i="4"/>
  <c r="I356" i="4"/>
  <c r="H832" i="4"/>
  <c r="I832" i="4"/>
  <c r="H120" i="4"/>
  <c r="H143" i="4"/>
  <c r="I143" i="4"/>
  <c r="I216" i="4"/>
  <c r="H216" i="4"/>
  <c r="I331" i="4"/>
  <c r="H331" i="4"/>
  <c r="I354" i="4"/>
  <c r="I597" i="4"/>
  <c r="H597" i="4"/>
  <c r="I23" i="4"/>
  <c r="H23" i="4"/>
  <c r="H52" i="4"/>
  <c r="H118" i="4"/>
  <c r="I118" i="4"/>
  <c r="H130" i="4"/>
  <c r="H153" i="4"/>
  <c r="I175" i="4"/>
  <c r="H175" i="4"/>
  <c r="I244" i="4"/>
  <c r="I294" i="4"/>
  <c r="I320" i="4"/>
  <c r="H320" i="4"/>
  <c r="H329" i="4"/>
  <c r="I329" i="4"/>
  <c r="H400" i="4"/>
  <c r="I400" i="4"/>
  <c r="I512" i="4"/>
  <c r="H512" i="4"/>
  <c r="I638" i="4"/>
  <c r="H638" i="4"/>
  <c r="I811" i="4"/>
  <c r="H811" i="4"/>
  <c r="I48" i="4"/>
  <c r="H48" i="4"/>
  <c r="H81" i="4"/>
  <c r="I86" i="4"/>
  <c r="H111" i="4"/>
  <c r="I235" i="4"/>
  <c r="H235" i="4"/>
  <c r="H287" i="4"/>
  <c r="H301" i="4"/>
  <c r="I301" i="4"/>
  <c r="I306" i="4"/>
  <c r="H65" i="4"/>
  <c r="I73" i="4"/>
  <c r="H73" i="4"/>
  <c r="H75" i="4"/>
  <c r="I93" i="4"/>
  <c r="H93" i="4"/>
  <c r="I147" i="4"/>
  <c r="H147" i="4"/>
  <c r="H184" i="4"/>
  <c r="I184" i="4"/>
  <c r="H197" i="4"/>
  <c r="I197" i="4"/>
  <c r="I232" i="4"/>
  <c r="H232" i="4"/>
  <c r="I362" i="4"/>
  <c r="H362" i="4"/>
  <c r="I417" i="4"/>
  <c r="H417" i="4"/>
  <c r="H555" i="4"/>
  <c r="I555" i="4"/>
  <c r="I98" i="4"/>
  <c r="H98" i="4"/>
  <c r="I202" i="4"/>
  <c r="H282" i="4"/>
  <c r="I282" i="4"/>
  <c r="H322" i="4"/>
  <c r="I322" i="4"/>
  <c r="I442" i="4"/>
  <c r="H442" i="4"/>
  <c r="I113" i="4"/>
  <c r="H113" i="4"/>
  <c r="H185" i="4"/>
  <c r="I185" i="4"/>
  <c r="I342" i="4"/>
  <c r="H342" i="4"/>
  <c r="I802" i="4"/>
  <c r="H802" i="4"/>
  <c r="I69" i="4"/>
  <c r="H117" i="4"/>
  <c r="I138" i="4"/>
  <c r="H138" i="4"/>
  <c r="H168" i="4"/>
  <c r="I168" i="4"/>
  <c r="I188" i="4"/>
  <c r="H188" i="4"/>
  <c r="I237" i="4"/>
  <c r="H237" i="4"/>
  <c r="H247" i="4"/>
  <c r="I247" i="4"/>
  <c r="I365" i="4"/>
  <c r="H365" i="4"/>
  <c r="H402" i="4"/>
  <c r="I402" i="4"/>
  <c r="H452" i="4"/>
  <c r="I452" i="4"/>
  <c r="I582" i="4"/>
  <c r="H582" i="4"/>
  <c r="H621" i="4"/>
  <c r="I621" i="4"/>
  <c r="I817" i="4"/>
  <c r="H817" i="4"/>
  <c r="I827" i="4"/>
  <c r="H827" i="4"/>
  <c r="I101" i="4"/>
  <c r="H133" i="4"/>
  <c r="I133" i="4"/>
  <c r="I158" i="4"/>
  <c r="H158" i="4"/>
  <c r="I170" i="4"/>
  <c r="I352" i="4"/>
  <c r="H352" i="4"/>
  <c r="I395" i="4"/>
  <c r="H43" i="4"/>
  <c r="I43" i="4"/>
  <c r="I45" i="4"/>
  <c r="H57" i="4"/>
  <c r="I57" i="4"/>
  <c r="H72" i="4"/>
  <c r="I141" i="4"/>
  <c r="H141" i="4"/>
  <c r="H180" i="4"/>
  <c r="H196" i="4"/>
  <c r="H272" i="4"/>
  <c r="I272" i="4"/>
  <c r="H450" i="4"/>
  <c r="I450" i="4"/>
  <c r="H483" i="4"/>
  <c r="H13" i="4"/>
  <c r="I31" i="4"/>
  <c r="H31" i="4"/>
  <c r="H68" i="4"/>
  <c r="I68" i="4"/>
  <c r="I70" i="4"/>
  <c r="H94" i="4"/>
  <c r="I94" i="4"/>
  <c r="H128" i="4"/>
  <c r="I206" i="4"/>
  <c r="I209" i="4"/>
  <c r="H209" i="4"/>
  <c r="H221" i="4"/>
  <c r="I221" i="4"/>
  <c r="H240" i="4"/>
  <c r="I277" i="4"/>
  <c r="I302" i="4"/>
  <c r="H302" i="4"/>
  <c r="H325" i="4"/>
  <c r="H334" i="4"/>
  <c r="I336" i="4"/>
  <c r="H336" i="4"/>
  <c r="I357" i="4"/>
  <c r="H357" i="4"/>
  <c r="I366" i="4"/>
  <c r="H366" i="4"/>
  <c r="I391" i="4"/>
  <c r="H391" i="4"/>
  <c r="I447" i="4"/>
  <c r="I552" i="4"/>
  <c r="H552" i="4"/>
  <c r="I567" i="4"/>
  <c r="H567" i="4"/>
  <c r="I610" i="4"/>
  <c r="H610" i="4"/>
  <c r="I807" i="4"/>
  <c r="H807" i="4"/>
  <c r="I6" i="4"/>
  <c r="H6" i="4"/>
  <c r="H21" i="4"/>
  <c r="I21" i="4"/>
  <c r="I53" i="4"/>
  <c r="H53" i="4"/>
  <c r="I77" i="4"/>
  <c r="I82" i="4"/>
  <c r="H82" i="4"/>
  <c r="H107" i="4"/>
  <c r="E169" i="4"/>
  <c r="G169" i="4" s="1"/>
  <c r="I199" i="4"/>
  <c r="I295" i="4"/>
  <c r="H295" i="4"/>
  <c r="I307" i="4"/>
  <c r="H307" i="4"/>
  <c r="E319" i="4"/>
  <c r="G319" i="4" s="1"/>
  <c r="H319" i="4" s="1"/>
  <c r="I334" i="4"/>
  <c r="H377" i="4"/>
  <c r="I382" i="4"/>
  <c r="H382" i="4"/>
  <c r="I461" i="4"/>
  <c r="I805" i="4"/>
  <c r="H805" i="4"/>
  <c r="I132" i="4"/>
  <c r="I150" i="4"/>
  <c r="H150" i="4"/>
  <c r="I16" i="4"/>
  <c r="H16" i="4"/>
  <c r="H85" i="4"/>
  <c r="I85" i="4"/>
  <c r="I90" i="4"/>
  <c r="H90" i="4"/>
  <c r="I100" i="4"/>
  <c r="H100" i="4"/>
  <c r="H136" i="4"/>
  <c r="I136" i="4"/>
  <c r="H212" i="4"/>
  <c r="I227" i="4"/>
  <c r="H227" i="4"/>
  <c r="I245" i="4"/>
  <c r="H245" i="4"/>
  <c r="I275" i="4"/>
  <c r="H275" i="4"/>
  <c r="I297" i="4"/>
  <c r="I300" i="4"/>
  <c r="H300" i="4"/>
  <c r="I371" i="4"/>
  <c r="H371" i="4"/>
  <c r="I412" i="4"/>
  <c r="H412" i="4"/>
  <c r="I431" i="4"/>
  <c r="I446" i="4"/>
  <c r="H446" i="4"/>
  <c r="I502" i="4"/>
  <c r="H502" i="4"/>
  <c r="H572" i="4"/>
  <c r="I572" i="4"/>
  <c r="I32" i="4"/>
  <c r="H32" i="4"/>
  <c r="I105" i="4"/>
  <c r="H105" i="4"/>
  <c r="I172" i="4"/>
  <c r="H172" i="4"/>
  <c r="H192" i="4"/>
  <c r="I192" i="4"/>
  <c r="H222" i="4"/>
  <c r="I222" i="4"/>
  <c r="H243" i="4"/>
  <c r="I243" i="4"/>
  <c r="H436" i="4"/>
  <c r="I436" i="4"/>
  <c r="H27" i="4"/>
  <c r="I27" i="4"/>
  <c r="H66" i="4"/>
  <c r="I66" i="4"/>
  <c r="I140" i="4"/>
  <c r="H140" i="4"/>
  <c r="H296" i="4"/>
  <c r="I296" i="4"/>
  <c r="I310" i="4"/>
  <c r="H5" i="4"/>
  <c r="H40" i="4"/>
  <c r="I40" i="4"/>
  <c r="I88" i="4"/>
  <c r="H88" i="4"/>
  <c r="H108" i="4"/>
  <c r="I148" i="4"/>
  <c r="H148" i="4"/>
  <c r="I193" i="4"/>
  <c r="H193" i="4"/>
  <c r="H308" i="4"/>
  <c r="H347" i="4"/>
  <c r="I347" i="4"/>
  <c r="H8" i="4"/>
  <c r="I8" i="4"/>
  <c r="I20" i="4"/>
  <c r="I50" i="4"/>
  <c r="H50" i="4"/>
  <c r="I103" i="4"/>
  <c r="I225" i="4"/>
  <c r="H813" i="4"/>
  <c r="I813" i="4"/>
  <c r="H30" i="4"/>
  <c r="I191" i="4"/>
  <c r="H191" i="4"/>
  <c r="H228" i="4"/>
  <c r="I228" i="4"/>
  <c r="I63" i="4"/>
  <c r="H63" i="4"/>
  <c r="I41" i="4"/>
  <c r="H41" i="4"/>
  <c r="I80" i="4"/>
  <c r="H80" i="4"/>
  <c r="H110" i="4"/>
  <c r="I110" i="4"/>
  <c r="H152" i="4"/>
  <c r="I152" i="4"/>
  <c r="H181" i="4"/>
  <c r="I181" i="4"/>
  <c r="E218" i="4"/>
  <c r="G218" i="4" s="1"/>
  <c r="I218" i="4" s="1"/>
  <c r="I312" i="4"/>
  <c r="H312" i="4"/>
  <c r="I319" i="4"/>
  <c r="H369" i="4"/>
  <c r="I369" i="4"/>
  <c r="I387" i="4"/>
  <c r="H387" i="4"/>
  <c r="H394" i="4"/>
  <c r="I394" i="4"/>
  <c r="I427" i="4"/>
  <c r="H427" i="4"/>
  <c r="H444" i="4"/>
  <c r="I444" i="4"/>
  <c r="I487" i="4"/>
  <c r="H487" i="4"/>
  <c r="I557" i="4"/>
  <c r="H557" i="4"/>
  <c r="H792" i="4"/>
  <c r="I792" i="4"/>
  <c r="H573" i="4"/>
  <c r="H51" i="4"/>
  <c r="H144" i="4"/>
  <c r="H238" i="4"/>
  <c r="H410" i="4"/>
  <c r="I425" i="4"/>
  <c r="H481" i="4"/>
  <c r="I96" i="4"/>
  <c r="H317" i="4"/>
  <c r="H454" i="4"/>
  <c r="I534" i="4"/>
  <c r="H96" i="4"/>
  <c r="I146" i="4"/>
  <c r="H223" i="4"/>
  <c r="I238" i="4"/>
  <c r="I286" i="4"/>
  <c r="H405" i="4"/>
  <c r="I420" i="4"/>
  <c r="H420" i="4"/>
  <c r="H721" i="4"/>
  <c r="I721" i="4"/>
  <c r="I130" i="4"/>
  <c r="H146" i="4"/>
  <c r="H177" i="4"/>
  <c r="I251" i="4"/>
  <c r="H251" i="4"/>
  <c r="H286" i="4"/>
  <c r="H326" i="4"/>
  <c r="I326" i="4"/>
  <c r="H398" i="4"/>
  <c r="H418" i="4"/>
  <c r="H439" i="4"/>
  <c r="I439" i="4"/>
  <c r="I474" i="4"/>
  <c r="H474" i="4"/>
  <c r="I532" i="4"/>
  <c r="I690" i="4"/>
  <c r="I717" i="4"/>
  <c r="H717" i="4"/>
  <c r="I752" i="4"/>
  <c r="H752" i="4"/>
  <c r="I5" i="4"/>
  <c r="H20" i="4"/>
  <c r="H34" i="4"/>
  <c r="E36" i="4"/>
  <c r="G36" i="4" s="1"/>
  <c r="H36" i="4" s="1"/>
  <c r="H39" i="4"/>
  <c r="H42" i="4"/>
  <c r="I62" i="4"/>
  <c r="I87" i="4"/>
  <c r="I107" i="4"/>
  <c r="H109" i="4"/>
  <c r="I109" i="4"/>
  <c r="I115" i="4"/>
  <c r="I116" i="4"/>
  <c r="H121" i="4"/>
  <c r="H129" i="4"/>
  <c r="H157" i="4"/>
  <c r="H166" i="4"/>
  <c r="H174" i="4"/>
  <c r="I174" i="4"/>
  <c r="I177" i="4"/>
  <c r="I180" i="4"/>
  <c r="I196" i="4"/>
  <c r="H205" i="4"/>
  <c r="I223" i="4"/>
  <c r="H244" i="4"/>
  <c r="I260" i="4"/>
  <c r="I270" i="4"/>
  <c r="H270" i="4"/>
  <c r="I281" i="4"/>
  <c r="H291" i="4"/>
  <c r="I316" i="4"/>
  <c r="H328" i="4"/>
  <c r="H340" i="4"/>
  <c r="H349" i="4"/>
  <c r="I380" i="4"/>
  <c r="H384" i="4"/>
  <c r="I386" i="4"/>
  <c r="H409" i="4"/>
  <c r="I409" i="4"/>
  <c r="H428" i="4"/>
  <c r="I437" i="4"/>
  <c r="I464" i="4"/>
  <c r="H464" i="4"/>
  <c r="I466" i="4"/>
  <c r="H466" i="4"/>
  <c r="H476" i="4"/>
  <c r="H488" i="4"/>
  <c r="H492" i="4"/>
  <c r="H503" i="4"/>
  <c r="I505" i="4"/>
  <c r="H505" i="4"/>
  <c r="H522" i="4"/>
  <c r="H561" i="4"/>
  <c r="I580" i="4"/>
  <c r="I591" i="4"/>
  <c r="H600" i="4"/>
  <c r="H630" i="4"/>
  <c r="I633" i="4"/>
  <c r="H633" i="4"/>
  <c r="I660" i="4"/>
  <c r="I702" i="4"/>
  <c r="H702" i="4"/>
  <c r="I729" i="4"/>
  <c r="I767" i="4"/>
  <c r="H767" i="4"/>
  <c r="I904" i="4"/>
  <c r="H904" i="4"/>
  <c r="I385" i="4"/>
  <c r="H385" i="4"/>
  <c r="H434" i="4"/>
  <c r="I434" i="4"/>
  <c r="H186" i="4"/>
  <c r="H457" i="4"/>
  <c r="H473" i="4"/>
  <c r="I547" i="4"/>
  <c r="H547" i="4"/>
  <c r="H571" i="4"/>
  <c r="I634" i="4"/>
  <c r="I696" i="4"/>
  <c r="H696" i="4"/>
  <c r="I249" i="4"/>
  <c r="I536" i="4"/>
  <c r="I636" i="4"/>
  <c r="I65" i="4"/>
  <c r="H71" i="4"/>
  <c r="H127" i="4"/>
  <c r="H213" i="4"/>
  <c r="I213" i="4"/>
  <c r="I345" i="4"/>
  <c r="H345" i="4"/>
  <c r="H414" i="4"/>
  <c r="I414" i="4"/>
  <c r="I497" i="4"/>
  <c r="I754" i="4"/>
  <c r="H754" i="4"/>
  <c r="H124" i="4"/>
  <c r="I124" i="4"/>
  <c r="H215" i="4"/>
  <c r="H249" i="4"/>
  <c r="H309" i="4"/>
  <c r="I309" i="4"/>
  <c r="I454" i="4"/>
  <c r="I490" i="4"/>
  <c r="H490" i="4"/>
  <c r="I537" i="4"/>
  <c r="H537" i="4"/>
  <c r="I602" i="4"/>
  <c r="H602" i="4"/>
  <c r="I611" i="4"/>
  <c r="H625" i="4"/>
  <c r="I47" i="4"/>
  <c r="I106" i="4"/>
  <c r="I195" i="4"/>
  <c r="H323" i="4"/>
  <c r="I708" i="4"/>
  <c r="H708" i="4"/>
  <c r="I34" i="4"/>
  <c r="H89" i="4"/>
  <c r="I112" i="4"/>
  <c r="H441" i="4"/>
  <c r="I472" i="4"/>
  <c r="I501" i="4"/>
  <c r="I531" i="4"/>
  <c r="H531" i="4"/>
  <c r="I542" i="4"/>
  <c r="H542" i="4"/>
  <c r="H550" i="4"/>
  <c r="I565" i="4"/>
  <c r="I575" i="4"/>
  <c r="H575" i="4"/>
  <c r="H591" i="4"/>
  <c r="I596" i="4"/>
  <c r="I601" i="4"/>
  <c r="H601" i="4"/>
  <c r="I614" i="4"/>
  <c r="H660" i="4"/>
  <c r="I688" i="4"/>
  <c r="H688" i="4"/>
  <c r="H720" i="4"/>
  <c r="I720" i="4"/>
  <c r="I724" i="4"/>
  <c r="H724" i="4"/>
  <c r="I727" i="4"/>
  <c r="H727" i="4"/>
  <c r="I737" i="4"/>
  <c r="H737" i="4"/>
  <c r="I836" i="4"/>
  <c r="H836" i="4"/>
  <c r="H860" i="4"/>
  <c r="H374" i="4"/>
  <c r="H461" i="4"/>
  <c r="I477" i="4"/>
  <c r="H477" i="4"/>
  <c r="I540" i="4"/>
  <c r="I608" i="4"/>
  <c r="H608" i="4"/>
  <c r="I640" i="4"/>
  <c r="H640" i="4"/>
  <c r="H684" i="4"/>
  <c r="H686" i="4"/>
  <c r="I965" i="4"/>
  <c r="H965" i="4"/>
  <c r="H9" i="4"/>
  <c r="I9" i="4"/>
  <c r="H24" i="4"/>
  <c r="I24" i="4"/>
  <c r="I155" i="4"/>
  <c r="H160" i="4"/>
  <c r="H354" i="4"/>
  <c r="H408" i="4"/>
  <c r="H421" i="4"/>
  <c r="H440" i="4"/>
  <c r="H527" i="4"/>
  <c r="H553" i="4"/>
  <c r="I617" i="4"/>
  <c r="H617" i="4"/>
  <c r="H678" i="4"/>
  <c r="I15" i="4"/>
  <c r="H29" i="4"/>
  <c r="H74" i="4"/>
  <c r="I74" i="4"/>
  <c r="H77" i="4"/>
  <c r="H169" i="4"/>
  <c r="I186" i="4"/>
  <c r="H199" i="4"/>
  <c r="I240" i="4"/>
  <c r="H261" i="4"/>
  <c r="H305" i="4"/>
  <c r="H324" i="4"/>
  <c r="I324" i="4"/>
  <c r="H343" i="4"/>
  <c r="H510" i="4"/>
  <c r="I551" i="4"/>
  <c r="H551" i="4"/>
  <c r="I595" i="4"/>
  <c r="H595" i="4"/>
  <c r="I643" i="4"/>
  <c r="H643" i="4"/>
  <c r="H680" i="4"/>
  <c r="H682" i="4"/>
  <c r="I684" i="4"/>
  <c r="I742" i="4"/>
  <c r="H742" i="4"/>
  <c r="I787" i="4"/>
  <c r="H787" i="4"/>
  <c r="I796" i="4"/>
  <c r="I37" i="4"/>
  <c r="I51" i="4"/>
  <c r="H59" i="4"/>
  <c r="I59" i="4"/>
  <c r="H101" i="4"/>
  <c r="I144" i="4"/>
  <c r="I160" i="4"/>
  <c r="I169" i="4"/>
  <c r="H201" i="4"/>
  <c r="H206" i="4"/>
  <c r="H225" i="4"/>
  <c r="H356" i="4"/>
  <c r="I416" i="4"/>
  <c r="H416" i="4"/>
  <c r="H422" i="4"/>
  <c r="I422" i="4"/>
  <c r="H431" i="4"/>
  <c r="I471" i="4"/>
  <c r="I482" i="4"/>
  <c r="H482" i="4"/>
  <c r="I524" i="4"/>
  <c r="H524" i="4"/>
  <c r="H536" i="4"/>
  <c r="I545" i="4"/>
  <c r="H545" i="4"/>
  <c r="H570" i="4"/>
  <c r="I651" i="4"/>
  <c r="H651" i="4"/>
  <c r="I678" i="4"/>
  <c r="I731" i="4"/>
  <c r="H731" i="4"/>
  <c r="H740" i="4"/>
  <c r="H771" i="4"/>
  <c r="I771" i="4"/>
  <c r="H862" i="4"/>
  <c r="I862" i="4"/>
  <c r="H15" i="4"/>
  <c r="H45" i="4"/>
  <c r="I56" i="4"/>
  <c r="H79" i="4"/>
  <c r="I127" i="4"/>
  <c r="H151" i="4"/>
  <c r="I201" i="4"/>
  <c r="H242" i="4"/>
  <c r="H435" i="4"/>
  <c r="I494" i="4"/>
  <c r="H494" i="4"/>
  <c r="H516" i="4"/>
  <c r="I674" i="4"/>
  <c r="H674" i="4"/>
  <c r="H796" i="4"/>
  <c r="H56" i="4"/>
  <c r="H70" i="4"/>
  <c r="I79" i="4"/>
  <c r="H95" i="4"/>
  <c r="I137" i="4"/>
  <c r="I151" i="4"/>
  <c r="H159" i="4"/>
  <c r="I159" i="4"/>
  <c r="I165" i="4"/>
  <c r="H171" i="4"/>
  <c r="H179" i="4"/>
  <c r="I215" i="4"/>
  <c r="H217" i="4"/>
  <c r="H304" i="4"/>
  <c r="I304" i="4"/>
  <c r="H368" i="4"/>
  <c r="H411" i="4"/>
  <c r="I470" i="4"/>
  <c r="H470" i="4"/>
  <c r="I480" i="4"/>
  <c r="I541" i="4"/>
  <c r="H541" i="4"/>
  <c r="I587" i="4"/>
  <c r="H587" i="4"/>
  <c r="I672" i="4"/>
  <c r="H672" i="4"/>
  <c r="H690" i="4"/>
  <c r="H719" i="4"/>
  <c r="I774" i="4"/>
  <c r="H774" i="4"/>
  <c r="I856" i="4"/>
  <c r="H856" i="4"/>
  <c r="H867" i="4"/>
  <c r="I867" i="4"/>
  <c r="H4" i="4"/>
  <c r="H10" i="4"/>
  <c r="I39" i="4"/>
  <c r="I42" i="4"/>
  <c r="H76" i="4"/>
  <c r="H84" i="4"/>
  <c r="H92" i="4"/>
  <c r="I95" i="4"/>
  <c r="H115" i="4"/>
  <c r="I129" i="4"/>
  <c r="H137" i="4"/>
  <c r="H145" i="4"/>
  <c r="I156" i="4"/>
  <c r="H162" i="4"/>
  <c r="I187" i="4"/>
  <c r="H195" i="4"/>
  <c r="I200" i="4"/>
  <c r="I205" i="4"/>
  <c r="H229" i="4"/>
  <c r="H239" i="4"/>
  <c r="H246" i="4"/>
  <c r="H255" i="4"/>
  <c r="H281" i="4"/>
  <c r="H285" i="4"/>
  <c r="I290" i="4"/>
  <c r="H293" i="4"/>
  <c r="H316" i="4"/>
  <c r="I321" i="4"/>
  <c r="I349" i="4"/>
  <c r="H375" i="4"/>
  <c r="H395" i="4"/>
  <c r="I407" i="4"/>
  <c r="H449" i="4"/>
  <c r="I449" i="4"/>
  <c r="I485" i="4"/>
  <c r="H507" i="4"/>
  <c r="I4" i="4"/>
  <c r="I36" i="4"/>
  <c r="H44" i="4"/>
  <c r="H47" i="4"/>
  <c r="I55" i="4"/>
  <c r="H60" i="4"/>
  <c r="I97" i="4"/>
  <c r="H106" i="4"/>
  <c r="H134" i="4"/>
  <c r="H139" i="4"/>
  <c r="H142" i="4"/>
  <c r="I145" i="4"/>
  <c r="H165" i="4"/>
  <c r="I179" i="4"/>
  <c r="H187" i="4"/>
  <c r="E194" i="4"/>
  <c r="G194" i="4" s="1"/>
  <c r="I194" i="4" s="1"/>
  <c r="I234" i="4"/>
  <c r="I246" i="4"/>
  <c r="I262" i="4"/>
  <c r="H264" i="4"/>
  <c r="H278" i="4"/>
  <c r="H283" i="4"/>
  <c r="I285" i="4"/>
  <c r="H339" i="4"/>
  <c r="H353" i="4"/>
  <c r="H379" i="4"/>
  <c r="I379" i="4"/>
  <c r="H404" i="4"/>
  <c r="I404" i="4"/>
  <c r="H415" i="4"/>
  <c r="H515" i="4"/>
  <c r="I517" i="4"/>
  <c r="H548" i="4"/>
  <c r="H558" i="4"/>
  <c r="I560" i="4"/>
  <c r="H560" i="4"/>
  <c r="I592" i="4"/>
  <c r="H592" i="4"/>
  <c r="I628" i="4"/>
  <c r="I656" i="4"/>
  <c r="H656" i="4"/>
  <c r="I715" i="4"/>
  <c r="H715" i="4"/>
  <c r="H887" i="4"/>
  <c r="I887" i="4"/>
  <c r="H430" i="4"/>
  <c r="I430" i="4"/>
  <c r="H451" i="4"/>
  <c r="I456" i="4"/>
  <c r="H456" i="4"/>
  <c r="H468" i="4"/>
  <c r="I475" i="4"/>
  <c r="H475" i="4"/>
  <c r="I521" i="4"/>
  <c r="H521" i="4"/>
  <c r="H543" i="4"/>
  <c r="I574" i="4"/>
  <c r="H574" i="4"/>
  <c r="I635" i="4"/>
  <c r="H635" i="4"/>
  <c r="I670" i="4"/>
  <c r="H670" i="4"/>
  <c r="I703" i="4"/>
  <c r="H703" i="4"/>
  <c r="I747" i="4"/>
  <c r="H747" i="4"/>
  <c r="I770" i="4"/>
  <c r="H770" i="4"/>
  <c r="H876" i="4"/>
  <c r="I876" i="4"/>
  <c r="H14" i="4"/>
  <c r="H64" i="4"/>
  <c r="H114" i="4"/>
  <c r="H164" i="4"/>
  <c r="H231" i="4"/>
  <c r="H266" i="4"/>
  <c r="H274" i="4"/>
  <c r="H289" i="4"/>
  <c r="H298" i="4"/>
  <c r="I315" i="4"/>
  <c r="H330" i="4"/>
  <c r="H359" i="4"/>
  <c r="I359" i="4"/>
  <c r="H376" i="4"/>
  <c r="H399" i="4"/>
  <c r="H448" i="4"/>
  <c r="H458" i="4"/>
  <c r="I491" i="4"/>
  <c r="I496" i="4"/>
  <c r="I504" i="4"/>
  <c r="H504" i="4"/>
  <c r="H523" i="4"/>
  <c r="H528" i="4"/>
  <c r="I530" i="4"/>
  <c r="H535" i="4"/>
  <c r="H586" i="4"/>
  <c r="H588" i="4"/>
  <c r="I590" i="4"/>
  <c r="H590" i="4"/>
  <c r="E605" i="4"/>
  <c r="G605" i="4" s="1"/>
  <c r="I605" i="4" s="1"/>
  <c r="H614" i="4"/>
  <c r="I641" i="4"/>
  <c r="I657" i="4"/>
  <c r="H657" i="4"/>
  <c r="I675" i="4"/>
  <c r="I697" i="4"/>
  <c r="H699" i="4"/>
  <c r="H701" i="4"/>
  <c r="I711" i="4"/>
  <c r="H711" i="4"/>
  <c r="H783" i="4"/>
  <c r="I785" i="4"/>
  <c r="I790" i="4"/>
  <c r="H790" i="4"/>
  <c r="I830" i="4"/>
  <c r="H830" i="4"/>
  <c r="H874" i="4"/>
  <c r="H900" i="4"/>
  <c r="I900" i="4"/>
  <c r="H518" i="4"/>
  <c r="I554" i="4"/>
  <c r="H554" i="4"/>
  <c r="I564" i="4"/>
  <c r="H564" i="4"/>
  <c r="H576" i="4"/>
  <c r="I629" i="4"/>
  <c r="I647" i="4"/>
  <c r="I649" i="4"/>
  <c r="H649" i="4"/>
  <c r="H681" i="4"/>
  <c r="H716" i="4"/>
  <c r="I716" i="4"/>
  <c r="H788" i="4"/>
  <c r="I788" i="4"/>
  <c r="H857" i="4"/>
  <c r="I857" i="4"/>
  <c r="I864" i="4"/>
  <c r="H864" i="4"/>
  <c r="H877" i="4"/>
  <c r="I877" i="4"/>
  <c r="H912" i="4"/>
  <c r="I912" i="4"/>
  <c r="H248" i="4"/>
  <c r="H373" i="4"/>
  <c r="H453" i="4"/>
  <c r="I460" i="4"/>
  <c r="H460" i="4"/>
  <c r="H465" i="4"/>
  <c r="H498" i="4"/>
  <c r="H525" i="4"/>
  <c r="H583" i="4"/>
  <c r="I594" i="4"/>
  <c r="H594" i="4"/>
  <c r="I599" i="4"/>
  <c r="H599" i="4"/>
  <c r="I607" i="4"/>
  <c r="H618" i="4"/>
  <c r="I645" i="4"/>
  <c r="H645" i="4"/>
  <c r="I653" i="4"/>
  <c r="H653" i="4"/>
  <c r="I691" i="4"/>
  <c r="I759" i="4"/>
  <c r="H759" i="4"/>
  <c r="H763" i="4"/>
  <c r="I763" i="4"/>
  <c r="H768" i="4"/>
  <c r="I768" i="4"/>
  <c r="I896" i="4"/>
  <c r="H896" i="4"/>
  <c r="H54" i="4"/>
  <c r="H104" i="4"/>
  <c r="H154" i="4"/>
  <c r="I204" i="4"/>
  <c r="H204" i="4"/>
  <c r="H333" i="4"/>
  <c r="H424" i="4"/>
  <c r="H443" i="4"/>
  <c r="H49" i="4"/>
  <c r="H99" i="4"/>
  <c r="H149" i="4"/>
  <c r="H194" i="4"/>
  <c r="H233" i="4"/>
  <c r="H253" i="4"/>
  <c r="H259" i="4"/>
  <c r="H268" i="4"/>
  <c r="I311" i="4"/>
  <c r="I341" i="4"/>
  <c r="H341" i="4"/>
  <c r="H355" i="4"/>
  <c r="I355" i="4"/>
  <c r="H358" i="4"/>
  <c r="H364" i="4"/>
  <c r="H383" i="4"/>
  <c r="I390" i="4"/>
  <c r="H401" i="4"/>
  <c r="I401" i="4"/>
  <c r="H445" i="4"/>
  <c r="H513" i="4"/>
  <c r="H520" i="4"/>
  <c r="I566" i="4"/>
  <c r="H566" i="4"/>
  <c r="H629" i="4"/>
  <c r="H647" i="4"/>
  <c r="I663" i="4"/>
  <c r="H663" i="4"/>
  <c r="I667" i="4"/>
  <c r="H667" i="4"/>
  <c r="I671" i="4"/>
  <c r="I685" i="4"/>
  <c r="I714" i="4"/>
  <c r="H714" i="4"/>
  <c r="I782" i="4"/>
  <c r="H782" i="4"/>
  <c r="I801" i="4"/>
  <c r="H801" i="4"/>
  <c r="H871" i="4"/>
  <c r="I871" i="4"/>
  <c r="H378" i="4"/>
  <c r="H389" i="4"/>
  <c r="H419" i="4"/>
  <c r="H423" i="4"/>
  <c r="H478" i="4"/>
  <c r="I484" i="4"/>
  <c r="H484" i="4"/>
  <c r="H533" i="4"/>
  <c r="H578" i="4"/>
  <c r="I584" i="4"/>
  <c r="H584" i="4"/>
  <c r="I606" i="4"/>
  <c r="I631" i="4"/>
  <c r="H631" i="4"/>
  <c r="I642" i="4"/>
  <c r="H642" i="4"/>
  <c r="E646" i="4"/>
  <c r="G646" i="4" s="1"/>
  <c r="H655" i="4"/>
  <c r="E693" i="4"/>
  <c r="G693" i="4" s="1"/>
  <c r="H693" i="4" s="1"/>
  <c r="H762" i="4"/>
  <c r="I762" i="4"/>
  <c r="H777" i="4"/>
  <c r="I777" i="4"/>
  <c r="I834" i="4"/>
  <c r="I861" i="4"/>
  <c r="H861" i="4"/>
  <c r="I910" i="4"/>
  <c r="H910" i="4"/>
  <c r="I957" i="4"/>
  <c r="H957" i="4"/>
  <c r="H463" i="4"/>
  <c r="I622" i="4"/>
  <c r="I624" i="4"/>
  <c r="H624" i="4"/>
  <c r="I666" i="4"/>
  <c r="H730" i="4"/>
  <c r="I730" i="4"/>
  <c r="I734" i="4"/>
  <c r="H734" i="4"/>
  <c r="H750" i="4"/>
  <c r="I756" i="4"/>
  <c r="H756" i="4"/>
  <c r="H786" i="4"/>
  <c r="I786" i="4"/>
  <c r="I810" i="4"/>
  <c r="H810" i="4"/>
  <c r="H825" i="4"/>
  <c r="I825" i="4"/>
  <c r="H841" i="4"/>
  <c r="I841" i="4"/>
  <c r="H852" i="4"/>
  <c r="I852" i="4"/>
  <c r="I854" i="4"/>
  <c r="H854" i="4"/>
  <c r="H882" i="4"/>
  <c r="I882" i="4"/>
  <c r="I886" i="4"/>
  <c r="H886" i="4"/>
  <c r="I950" i="4"/>
  <c r="H950" i="4"/>
  <c r="I952" i="4"/>
  <c r="H952" i="4"/>
  <c r="H208" i="4"/>
  <c r="H258" i="4"/>
  <c r="H280" i="4"/>
  <c r="H284" i="4"/>
  <c r="H299" i="4"/>
  <c r="H314" i="4"/>
  <c r="H344" i="4"/>
  <c r="H348" i="4"/>
  <c r="H393" i="4"/>
  <c r="H426" i="4"/>
  <c r="H496" i="4"/>
  <c r="H508" i="4"/>
  <c r="I514" i="4"/>
  <c r="H514" i="4"/>
  <c r="H563" i="4"/>
  <c r="H203" i="4"/>
  <c r="H269" i="4"/>
  <c r="H273" i="4"/>
  <c r="I284" i="4"/>
  <c r="H318" i="4"/>
  <c r="H351" i="4"/>
  <c r="I374" i="4"/>
  <c r="I389" i="4"/>
  <c r="I419" i="4"/>
  <c r="H429" i="4"/>
  <c r="H433" i="4"/>
  <c r="H455" i="4"/>
  <c r="H459" i="4"/>
  <c r="H493" i="4"/>
  <c r="H538" i="4"/>
  <c r="I544" i="4"/>
  <c r="H544" i="4"/>
  <c r="H593" i="4"/>
  <c r="I613" i="4"/>
  <c r="H613" i="4"/>
  <c r="I620" i="4"/>
  <c r="H620" i="4"/>
  <c r="H648" i="4"/>
  <c r="I693" i="4"/>
  <c r="I718" i="4"/>
  <c r="H718" i="4"/>
  <c r="H722" i="4"/>
  <c r="H748" i="4"/>
  <c r="I765" i="4"/>
  <c r="H765" i="4"/>
  <c r="I769" i="4"/>
  <c r="H816" i="4"/>
  <c r="H837" i="4"/>
  <c r="I837" i="4"/>
  <c r="I839" i="4"/>
  <c r="H839" i="4"/>
  <c r="I766" i="4"/>
  <c r="H766" i="4"/>
  <c r="I822" i="4"/>
  <c r="H822" i="4"/>
  <c r="H826" i="4"/>
  <c r="I705" i="4"/>
  <c r="H705" i="4"/>
  <c r="I751" i="4"/>
  <c r="H764" i="4"/>
  <c r="H263" i="4"/>
  <c r="H288" i="4"/>
  <c r="H313" i="4"/>
  <c r="H338" i="4"/>
  <c r="H413" i="4"/>
  <c r="H438" i="4"/>
  <c r="I469" i="4"/>
  <c r="H469" i="4"/>
  <c r="I479" i="4"/>
  <c r="H479" i="4"/>
  <c r="I489" i="4"/>
  <c r="H489" i="4"/>
  <c r="I499" i="4"/>
  <c r="H499" i="4"/>
  <c r="I509" i="4"/>
  <c r="H509" i="4"/>
  <c r="I519" i="4"/>
  <c r="H519" i="4"/>
  <c r="I529" i="4"/>
  <c r="H529" i="4"/>
  <c r="I539" i="4"/>
  <c r="H539" i="4"/>
  <c r="I549" i="4"/>
  <c r="H549" i="4"/>
  <c r="I559" i="4"/>
  <c r="H559" i="4"/>
  <c r="I569" i="4"/>
  <c r="H569" i="4"/>
  <c r="I579" i="4"/>
  <c r="H579" i="4"/>
  <c r="I589" i="4"/>
  <c r="H589" i="4"/>
  <c r="I609" i="4"/>
  <c r="H609" i="4"/>
  <c r="H698" i="4"/>
  <c r="H709" i="4"/>
  <c r="I745" i="4"/>
  <c r="H745" i="4"/>
  <c r="E779" i="4"/>
  <c r="G779" i="4" s="1"/>
  <c r="H791" i="4"/>
  <c r="H866" i="4"/>
  <c r="I866" i="4"/>
  <c r="I891" i="4"/>
  <c r="H891" i="4"/>
  <c r="H818" i="4"/>
  <c r="I818" i="4"/>
  <c r="H820" i="4"/>
  <c r="H843" i="4"/>
  <c r="I843" i="4"/>
  <c r="H893" i="4"/>
  <c r="I893" i="4"/>
  <c r="H927" i="4"/>
  <c r="H929" i="4"/>
  <c r="I929" i="4"/>
  <c r="I941" i="4"/>
  <c r="H941" i="4"/>
  <c r="I977" i="4"/>
  <c r="H977" i="4"/>
  <c r="I992" i="4"/>
  <c r="H992" i="4"/>
  <c r="I627" i="4"/>
  <c r="I652" i="4"/>
  <c r="I677" i="4"/>
  <c r="H677" i="4"/>
  <c r="H753" i="4"/>
  <c r="I753" i="4"/>
  <c r="I820" i="4"/>
  <c r="H859" i="4"/>
  <c r="I927" i="4"/>
  <c r="I932" i="4"/>
  <c r="H932" i="4"/>
  <c r="I964" i="4"/>
  <c r="H964" i="4"/>
  <c r="I990" i="4"/>
  <c r="H990" i="4"/>
  <c r="I1000" i="4"/>
  <c r="I1002" i="4"/>
  <c r="I695" i="4"/>
  <c r="I726" i="4"/>
  <c r="H738" i="4"/>
  <c r="H773" i="4"/>
  <c r="E803" i="4"/>
  <c r="G803" i="4" s="1"/>
  <c r="H815" i="4"/>
  <c r="I829" i="4"/>
  <c r="I845" i="4"/>
  <c r="H849" i="4"/>
  <c r="I859" i="4"/>
  <c r="H884" i="4"/>
  <c r="E923" i="4"/>
  <c r="G923" i="4" s="1"/>
  <c r="H925" i="4"/>
  <c r="I960" i="4"/>
  <c r="I969" i="4"/>
  <c r="H969" i="4"/>
  <c r="I971" i="4"/>
  <c r="H971" i="4"/>
  <c r="I995" i="4"/>
  <c r="H1002" i="4"/>
  <c r="I612" i="4"/>
  <c r="H627" i="4"/>
  <c r="H634" i="4"/>
  <c r="I637" i="4"/>
  <c r="H652" i="4"/>
  <c r="H659" i="4"/>
  <c r="I662" i="4"/>
  <c r="I744" i="4"/>
  <c r="H758" i="4"/>
  <c r="I781" i="4"/>
  <c r="H784" i="4"/>
  <c r="I809" i="4"/>
  <c r="I824" i="4"/>
  <c r="I831" i="4"/>
  <c r="H831" i="4"/>
  <c r="H872" i="4"/>
  <c r="I872" i="4"/>
  <c r="H892" i="4"/>
  <c r="I892" i="4"/>
  <c r="H695" i="4"/>
  <c r="E700" i="4"/>
  <c r="G700" i="4" s="1"/>
  <c r="I707" i="4"/>
  <c r="I713" i="4"/>
  <c r="H726" i="4"/>
  <c r="H728" i="4"/>
  <c r="I728" i="4"/>
  <c r="I732" i="4"/>
  <c r="I738" i="4"/>
  <c r="H749" i="4"/>
  <c r="I758" i="4"/>
  <c r="H781" i="4"/>
  <c r="I784" i="4"/>
  <c r="I794" i="4"/>
  <c r="I800" i="4"/>
  <c r="H803" i="4"/>
  <c r="I803" i="4"/>
  <c r="I819" i="4"/>
  <c r="H829" i="4"/>
  <c r="I849" i="4"/>
  <c r="I875" i="4"/>
  <c r="I909" i="4"/>
  <c r="I911" i="4"/>
  <c r="H911" i="4"/>
  <c r="I923" i="4"/>
  <c r="H923" i="4"/>
  <c r="H960" i="4"/>
  <c r="I967" i="4"/>
  <c r="H967" i="4"/>
  <c r="I890" i="4"/>
  <c r="E902" i="4"/>
  <c r="G902" i="4" s="1"/>
  <c r="I902" i="4" s="1"/>
  <c r="I921" i="4"/>
  <c r="H921" i="4"/>
  <c r="I940" i="4"/>
  <c r="H940" i="4"/>
  <c r="H961" i="4"/>
  <c r="I961" i="4"/>
  <c r="I976" i="4"/>
  <c r="H976" i="4"/>
  <c r="I988" i="4"/>
  <c r="H988" i="4"/>
  <c r="I687" i="4"/>
  <c r="I712" i="4"/>
  <c r="H733" i="4"/>
  <c r="I736" i="4"/>
  <c r="H739" i="4"/>
  <c r="I739" i="4"/>
  <c r="I755" i="4"/>
  <c r="H778" i="4"/>
  <c r="E780" i="4"/>
  <c r="G780" i="4" s="1"/>
  <c r="H780" i="4" s="1"/>
  <c r="H789" i="4"/>
  <c r="H795" i="4"/>
  <c r="H821" i="4"/>
  <c r="I855" i="4"/>
  <c r="H855" i="4"/>
  <c r="H869" i="4"/>
  <c r="E913" i="4"/>
  <c r="G913" i="4" s="1"/>
  <c r="H913" i="4" s="1"/>
  <c r="I919" i="4"/>
  <c r="H930" i="4"/>
  <c r="I930" i="4"/>
  <c r="I899" i="4"/>
  <c r="H917" i="4"/>
  <c r="I926" i="4"/>
  <c r="H926" i="4"/>
  <c r="I928" i="4"/>
  <c r="H928" i="4"/>
  <c r="I942" i="4"/>
  <c r="H942" i="4"/>
  <c r="I944" i="4"/>
  <c r="H944" i="4"/>
  <c r="H979" i="4"/>
  <c r="I979" i="4"/>
  <c r="H986" i="4"/>
  <c r="I998" i="4"/>
  <c r="H998" i="4"/>
  <c r="I915" i="4"/>
  <c r="H915" i="4"/>
  <c r="I937" i="4"/>
  <c r="H937" i="4"/>
  <c r="I989" i="4"/>
  <c r="H989" i="4"/>
  <c r="H924" i="4"/>
  <c r="I963" i="4"/>
  <c r="I984" i="4"/>
  <c r="H984" i="4"/>
  <c r="I735" i="4"/>
  <c r="I776" i="4"/>
  <c r="E797" i="4"/>
  <c r="G797" i="4" s="1"/>
  <c r="H804" i="4"/>
  <c r="H828" i="4"/>
  <c r="I828" i="4"/>
  <c r="H833" i="4"/>
  <c r="H848" i="4"/>
  <c r="I848" i="4"/>
  <c r="H853" i="4"/>
  <c r="H873" i="4"/>
  <c r="H883" i="4"/>
  <c r="I883" i="4"/>
  <c r="E899" i="4"/>
  <c r="G899" i="4" s="1"/>
  <c r="H899" i="4" s="1"/>
  <c r="I906" i="4"/>
  <c r="I924" i="4"/>
  <c r="I934" i="4"/>
  <c r="H934" i="4"/>
  <c r="I949" i="4"/>
  <c r="I953" i="4"/>
  <c r="H996" i="4"/>
  <c r="I916" i="4"/>
  <c r="H916" i="4"/>
  <c r="I938" i="4"/>
  <c r="H938" i="4"/>
  <c r="E941" i="4"/>
  <c r="G941" i="4" s="1"/>
  <c r="I945" i="4"/>
  <c r="I951" i="4"/>
  <c r="H951" i="4"/>
  <c r="H963" i="4"/>
  <c r="H808" i="4"/>
  <c r="I835" i="4"/>
  <c r="I889" i="4"/>
  <c r="I901" i="4"/>
  <c r="H936" i="4"/>
  <c r="I955" i="4"/>
  <c r="H955" i="4"/>
  <c r="I962" i="4"/>
  <c r="H962" i="4"/>
  <c r="I966" i="4"/>
  <c r="H966" i="4"/>
  <c r="E972" i="4"/>
  <c r="G972" i="4" s="1"/>
  <c r="H858" i="4"/>
  <c r="H868" i="4"/>
  <c r="I868" i="4"/>
  <c r="I885" i="4"/>
  <c r="I903" i="4"/>
  <c r="H903" i="4"/>
  <c r="I922" i="4"/>
  <c r="H922" i="4"/>
  <c r="I959" i="4"/>
  <c r="H959" i="4"/>
  <c r="H743" i="4"/>
  <c r="H823" i="4"/>
  <c r="H878" i="4"/>
  <c r="I898" i="4"/>
  <c r="H898" i="4"/>
  <c r="E914" i="4"/>
  <c r="G914" i="4" s="1"/>
  <c r="I948" i="4"/>
  <c r="I985" i="4"/>
  <c r="H985" i="4"/>
  <c r="I973" i="4"/>
  <c r="H973" i="4"/>
  <c r="H863" i="4"/>
  <c r="H888" i="4"/>
  <c r="H905" i="4"/>
  <c r="E907" i="4"/>
  <c r="G907" i="4" s="1"/>
  <c r="I907" i="4" s="1"/>
  <c r="H954" i="4"/>
  <c r="I980" i="4"/>
  <c r="H980" i="4"/>
  <c r="I994" i="4"/>
  <c r="H994" i="4"/>
  <c r="I987" i="4"/>
  <c r="H987" i="4"/>
  <c r="I991" i="4"/>
  <c r="I1001" i="4"/>
  <c r="H1001" i="4"/>
  <c r="I1003" i="4"/>
  <c r="H1003" i="4"/>
  <c r="I958" i="4"/>
  <c r="I918" i="4"/>
  <c r="I943" i="4"/>
  <c r="H947" i="4"/>
  <c r="I968" i="4"/>
  <c r="I993" i="4"/>
  <c r="H226" i="4" l="1"/>
  <c r="H838" i="4"/>
  <c r="H388" i="4"/>
  <c r="I676" i="4"/>
  <c r="H676" i="4"/>
  <c r="H363" i="4"/>
  <c r="H303" i="4"/>
  <c r="I189" i="4"/>
  <c r="H210" i="4"/>
  <c r="I616" i="4"/>
  <c r="I847" i="4"/>
  <c r="H694" i="4"/>
  <c r="H604" i="4"/>
  <c r="I35" i="4"/>
  <c r="H102" i="4"/>
  <c r="H267" i="4"/>
  <c r="I61" i="4"/>
  <c r="I83" i="4"/>
  <c r="H946" i="4"/>
  <c r="I946" i="4"/>
  <c r="H650" i="4"/>
  <c r="I650" i="4"/>
  <c r="I12" i="4"/>
  <c r="H78" i="4"/>
  <c r="H761" i="4"/>
  <c r="I761" i="4"/>
  <c r="H894" i="4"/>
  <c r="I894" i="4"/>
  <c r="I983" i="4"/>
  <c r="H19" i="4"/>
  <c r="H26" i="4"/>
  <c r="I632" i="4"/>
  <c r="I486" i="4"/>
  <c r="I933" i="4"/>
  <c r="H793" i="4"/>
  <c r="I913" i="4"/>
  <c r="I850" i="4"/>
  <c r="I119" i="4"/>
  <c r="H25" i="4"/>
  <c r="I500" i="4"/>
  <c r="H500" i="4"/>
  <c r="H658" i="4"/>
  <c r="I908" i="4"/>
  <c r="H692" i="4"/>
  <c r="H798" i="4"/>
  <c r="H224" i="4"/>
  <c r="I11" i="4"/>
  <c r="I67" i="4"/>
  <c r="I577" i="4"/>
  <c r="H710" i="4"/>
  <c r="I689" i="4"/>
  <c r="H615" i="4"/>
  <c r="B20" i="3"/>
  <c r="H605" i="4"/>
  <c r="H902" i="4"/>
  <c r="H646" i="4"/>
  <c r="I646" i="4"/>
  <c r="I779" i="4"/>
  <c r="H779" i="4"/>
  <c r="H907" i="4"/>
  <c r="H218" i="4"/>
  <c r="I780" i="4"/>
  <c r="I972" i="4"/>
  <c r="H972" i="4"/>
  <c r="I797" i="4"/>
  <c r="H797" i="4"/>
  <c r="I914" i="4"/>
  <c r="H914" i="4"/>
  <c r="H700" i="4"/>
  <c r="I700" i="4"/>
  <c r="B22" i="3" l="1"/>
  <c r="B21" i="3"/>
</calcChain>
</file>

<file path=xl/sharedStrings.xml><?xml version="1.0" encoding="utf-8"?>
<sst xmlns="http://schemas.openxmlformats.org/spreadsheetml/2006/main" count="121" uniqueCount="121">
  <si>
    <t>MISSION CONTROL  -  A Race-Strategy Simulator  (Student File)</t>
  </si>
  <si>
    <t>THE QUESTION</t>
  </si>
  <si>
    <t>It is the end of lap 23 of a 50-lap race. Your one pit stop is planned for lap 25. A safety car may or may not appear in the next few laps.</t>
  </si>
  <si>
    <t>Do you PIT ON PLAN (lap 25, the lap the math says is optimal), or STAY OUT and REACT to a safety car if one comes?</t>
  </si>
  <si>
    <t>THE TWO POLICIES</t>
  </si>
  <si>
    <t>STATIC (Plan): pit on lap 25 under green-flag racing. Balanced stints, safe and predictable.</t>
  </si>
  <si>
    <t>REACTIVE (React): stay out past lap 25. If a safety car appears by lap 30, take the cheap stop. If none comes,</t>
  </si>
  <si>
    <t xml:space="preserve">    you are forced into a green-flag stop on lap 30 with unbalanced stints. A gamble.</t>
  </si>
  <si>
    <t>HOW TO USE THIS WORKBOOK</t>
  </si>
  <si>
    <t>1. INPUTS tab  -  every assumption lives here. Change a value and the whole model updates.</t>
  </si>
  <si>
    <t>2. ONE RACE tab  -  simulates a single race. Press F9 to run another race and watch who wins.</t>
  </si>
  <si>
    <t>3. MONTE CARLO tab  -  runs 1,000 PAIRED races at once (both policies face the same safety car). Press F9 to re-run.</t>
  </si>
  <si>
    <t>4. DASHBOARD tab  -  the distribution of outcomes for each policy, side by side.</t>
  </si>
  <si>
    <t>KEY EXCEL SKILL: F9 recalculates every random number. Each press is a fresh set of races.</t>
  </si>
  <si>
    <t>(If nothing changes on F9, set Formulas &gt; Calculation Options &gt; Automatic.)</t>
  </si>
  <si>
    <t>YOUR JOB: fill in every yellow cell on the MONTE CARLO and DASHBOARD tabs, then answer the QUESTIONS tab.</t>
  </si>
  <si>
    <t>INPUTS  -  change anything here</t>
  </si>
  <si>
    <t>Name</t>
  </si>
  <si>
    <t>Value</t>
  </si>
  <si>
    <t>Meaning</t>
  </si>
  <si>
    <t>Laps</t>
  </si>
  <si>
    <t>Total race laps (L)</t>
  </si>
  <si>
    <t>BaseLap</t>
  </si>
  <si>
    <t>Base lap time on fresh tires (s)</t>
  </si>
  <si>
    <t>Deg</t>
  </si>
  <si>
    <t>Tire degradation: lap time added per lap of tire age (s)</t>
  </si>
  <si>
    <t>PitGreen</t>
  </si>
  <si>
    <t>Time lost for a pit stop under green-flag racing (s)</t>
  </si>
  <si>
    <t>PitSC</t>
  </si>
  <si>
    <t>Time lost for a pit stop under a safety car (s)</t>
  </si>
  <si>
    <t>DecisionLap</t>
  </si>
  <si>
    <t>The lap at which Maya must decide (end of lap 23)</t>
  </si>
  <si>
    <t>PlanLap</t>
  </si>
  <si>
    <t>STATIC policy: planned pit lap (the math optimum)</t>
  </si>
  <si>
    <t>MustLap</t>
  </si>
  <si>
    <t>REACTIVE policy: forced green-flag stop if no usable safety car</t>
  </si>
  <si>
    <t>ReactMin</t>
  </si>
  <si>
    <t>Earliest lap a usable (future) safety car can appear</t>
  </si>
  <si>
    <t>ReactMax</t>
  </si>
  <si>
    <t>Latest lap a usable safety car can appear</t>
  </si>
  <si>
    <t>ProbSC</t>
  </si>
  <si>
    <t>Probability a USABLE safety car appears in laps 26-30</t>
  </si>
  <si>
    <t>NoiseSD</t>
  </si>
  <si>
    <t>Execution noise: st. dev. of random variation in total time (s)</t>
  </si>
  <si>
    <t>SecPerPos</t>
  </si>
  <si>
    <t>Approx. seconds of race time per finishing position</t>
  </si>
  <si>
    <t>Tip: the two inputs that matter most are ProbSC (how often a usable safety car appears) and PitSC (how cheap a safety-car stop is). Try changing them and re-running the Monte Carlo.</t>
  </si>
  <si>
    <t>ONE RACE  -  the decision is made at the end of lap 23. Press F9 to run another race.</t>
  </si>
  <si>
    <t>RANDOM DRAWS THIS RACE</t>
  </si>
  <si>
    <t>Random number for safety car</t>
  </si>
  <si>
    <t>&lt; ProbSC means a usable safety car appears</t>
  </si>
  <si>
    <t>Random number for its lap</t>
  </si>
  <si>
    <t>Random number for Static noise</t>
  </si>
  <si>
    <t>Random number for Reactive noise</t>
  </si>
  <si>
    <t>WHAT HAPPENS FROM LAP 24 ONWARD</t>
  </si>
  <si>
    <t>Usable safety car this race?</t>
  </si>
  <si>
    <t>a future safety car, laps 26-30</t>
  </si>
  <si>
    <t>Safety-car lap (if any)</t>
  </si>
  <si>
    <t>ignored if no safety car</t>
  </si>
  <si>
    <t>THE TWO DECISIONS</t>
  </si>
  <si>
    <t>STATIC pits on lap</t>
  </si>
  <si>
    <t>REACTIVE pits on lap</t>
  </si>
  <si>
    <t>the safety-car lap if one comes, else the forced lap-30 stop</t>
  </si>
  <si>
    <t>Pit time lost - STATIC</t>
  </si>
  <si>
    <t>Pit time lost - REACTIVE</t>
  </si>
  <si>
    <t>RESULT (total race time, lower is better)</t>
  </si>
  <si>
    <t>STATIC total time (s)</t>
  </si>
  <si>
    <t>REACTIVE total time (s)</t>
  </si>
  <si>
    <t>WINNER OF THIS RACE</t>
  </si>
  <si>
    <t>won by (s)</t>
  </si>
  <si>
    <t>Keep pressing F9. Reactive sometimes wins by a lot (it caught a safety car) and often loses by a little (no safety car came). One race tells you almost nothing, which is why we run thousands.</t>
  </si>
  <si>
    <t>MONTE CARLO  -  1,000 paired races (same safety car for both policies). Press F9 to re-run.</t>
  </si>
  <si>
    <t>Trial</t>
  </si>
  <si>
    <t>u(SC)</t>
  </si>
  <si>
    <t>Usable SC?</t>
  </si>
  <si>
    <t>SC lap</t>
  </si>
  <si>
    <t>React pit lap</t>
  </si>
  <si>
    <t>STATIC time</t>
  </si>
  <si>
    <t>REACTIVE time</t>
  </si>
  <si>
    <t>Winner</t>
  </si>
  <si>
    <t>React gain (s)</t>
  </si>
  <si>
    <t>RESULTS</t>
  </si>
  <si>
    <t>STATIC</t>
  </si>
  <si>
    <t>REACTIVE</t>
  </si>
  <si>
    <t>Average time (s)</t>
  </si>
  <si>
    <t>Std dev of time (s)</t>
  </si>
  <si>
    <t>Fast / upside (P10, s)</t>
  </si>
  <si>
    <t>Median (P50, s)</t>
  </si>
  <si>
    <t>Slow / downside (P90, s)</t>
  </si>
  <si>
    <t>THE BOTTOM LINE</t>
  </si>
  <si>
    <t>Reactive's average gain per race (s)</t>
  </si>
  <si>
    <t>% of races Reactive wins</t>
  </si>
  <si>
    <t>% of races a usable safety car appears</t>
  </si>
  <si>
    <t>Avg gain WHEN safety car caught (s)</t>
  </si>
  <si>
    <t>Avg gain WHEN gamble fails (s)</t>
  </si>
  <si>
    <t>Expected gain over a 24-race season (s)</t>
  </si>
  <si>
    <t>Break-even safety-car prob = loss / (gain+loss)</t>
  </si>
  <si>
    <t>Average positions gained per race</t>
  </si>
  <si>
    <t>PAIRED TRIALS: each row is one possible race future. Both policies face the SAME safety-car realization (with their own execution noise), so 'Reactive wins' means it would have produced the lower time in that same world. Reactive's AVERAGE time is lower, yet it WINS fewer than half the races: it wins big when the safety car comes and loses small when it does not. Judge the policy by the average over many races, not by who won the last one.</t>
  </si>
  <si>
    <t>DASHBOARD  -  the full distribution of outcomes</t>
  </si>
  <si>
    <t>Race time (s)</t>
  </si>
  <si>
    <t>STATIC count</t>
  </si>
  <si>
    <t>REACTIVE count</t>
  </si>
  <si>
    <t>Static (green) is a tall narrow spike: predictable. Reactive (orange) is BIMODAL: a cluster of big wins on the left (safety-car stops, about 35% of races) and a cluster of small losses on the right (no safety car). The rare big wins pull Reactive's average below Static even though most races land in the right-hand cluster.</t>
  </si>
  <si>
    <t>ASSIGNMENT  -  Mission Control</t>
  </si>
  <si>
    <t>Maya's team judges strategy by EXPECTED TOTAL RACE TIME across many comparable futures (lower is better).</t>
  </si>
  <si>
    <t>Step 1. On the MONTE CARLO tab, fill in every yellow cell (statistics and bottom-line metrics).</t>
  </si>
  <si>
    <t>Step 2. On the DASHBOARD tab, fill in the yellow bin counts so the chart draws.</t>
  </si>
  <si>
    <t>Then answer:</t>
  </si>
  <si>
    <t>Q1. Which policy has the lower (better) AVERAGE race time? By how many seconds?</t>
  </si>
  <si>
    <t>Q2. What percent of individual races does Reactive actually WIN? Is that above or below 50%?</t>
  </si>
  <si>
    <t>Q3. Reconcile Q1 and Q2: how can a policy be better on average yet win fewer than half the races?</t>
  </si>
  <si>
    <t>Q4. Press F9 ten times and record Reactive's AVERAGE each time. Then do the same on ONE RACE. Which is</t>
  </si>
  <si>
    <t xml:space="preserve">     more stable, and what does that mean for how you should judge a single strategy call?</t>
  </si>
  <si>
    <t>Q5. On INPUTS, lower ProbSC (0.35, 0.20, 0.10, 0.05). At roughly what probability does Reactive STOP being</t>
  </si>
  <si>
    <t xml:space="preserve">     the better bet? Compare it to the 'Break-even safety-car prob' the model reports. Why are they close?</t>
  </si>
  <si>
    <t>Q6. Set PitSC equal to PitGreen (a safety-car stop is no longer cheap). What happens to Reactive, and what</t>
  </si>
  <si>
    <t xml:space="preserve">     does that tell you about WHERE Reactive's advantage comes from?</t>
  </si>
  <si>
    <t>Q7. A rival ran Reactive last Sunday, no safety car came, and finished behind their Static teammate. Their boss</t>
  </si>
  <si>
    <t xml:space="preserve">     wants to ban Reactive. In three sentences, tell the boss why that may be the wrong lesson.</t>
  </si>
  <si>
    <t>Q8. In the final eight seconds, what data should Maya look at, and what should she ignore? Why?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</si>
</sst>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7" x14ac:knownFonts="1">
    <font>
      <sz val="11"/>
      <color theme="1"/>
      <name val="Calibri"/>
      <family val="2"/>
      <scheme val="minor"/>
    </font>
    <font>
      <b/>
      <sz val="14"/>
      <color rgb="FFFFFFFF"/>
      <name val="Calibri"/>
      <family val="2"/>
    </font>
    <font>
      <b/>
      <sz val="11"/>
      <name val="Calibri"/>
      <family val="2"/>
    </font>
    <font>
      <b/>
      <sz val="11"/>
      <name val="Calibri"/>
      <family val="2"/>
    </font>
    <font>
      <b/>
      <sz val="11"/>
      <color rgb="FFFFFFFF"/>
      <name val="Calibri"/>
      <family val="2"/>
    </font>
    <font>
      <i/>
      <sz val="11"/>
      <name val="Calibri"/>
      <family val="2"/>
    </font>
    <font>
      <i/>
      <sz val="9"/>
      <name val="Calibri"/>
      <family val="2"/>
    </font>
  </fonts>
  <fills count="8">
    <fill>
      <patternFill patternType="none"/>
    </fill>
    <fill>
      <patternFill patternType="gray125"/>
    </fill>
    <fill>
      <patternFill patternType="solid">
        <fgColor rgb="FF1F3864"/>
      </patternFill>
    </fill>
    <fill>
      <patternFill patternType="solid">
        <fgColor rgb="FFD9D9D9"/>
      </patternFill>
    </fill>
    <fill>
      <patternFill patternType="solid">
        <fgColor rgb="FFE2EFDA"/>
      </patternFill>
    </fill>
    <fill>
      <patternFill patternType="solid">
        <fgColor rgb="FFFCE4D6"/>
      </patternFill>
    </fill>
    <fill>
      <patternFill patternType="solid">
        <fgColor rgb="FFFFF2CC"/>
      </patternFill>
    </fill>
    <fill>
      <patternFill patternType="solid">
        <fgColor rgb="FF2E5496"/>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44">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3" borderId="0" xfId="0" applyFont="1"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3" fillId="6" borderId="0" xfId="0" applyFont="1" applyFill="1" applyAlignment="1">
      <alignment vertical="top" wrapText="1"/>
    </xf>
    <xf numFmtId="0" fontId="4" fillId="7" borderId="0" xfId="0" applyFont="1" applyFill="1"/>
    <xf numFmtId="0" fontId="0" fillId="7" borderId="0" xfId="0" applyFill="1"/>
    <xf numFmtId="0" fontId="3" fillId="0" borderId="0" xfId="0" applyFont="1"/>
    <xf numFmtId="0" fontId="5" fillId="0" borderId="0" xfId="0" applyFont="1"/>
    <xf numFmtId="1" fontId="0" fillId="6" borderId="1" xfId="0" applyNumberFormat="1" applyFill="1" applyBorder="1" applyAlignment="1">
      <alignment horizontal="center"/>
    </xf>
    <xf numFmtId="164" fontId="0" fillId="6" borderId="1" xfId="0" applyNumberFormat="1" applyFill="1" applyBorder="1" applyAlignment="1">
      <alignment horizontal="center"/>
    </xf>
    <xf numFmtId="165" fontId="0" fillId="6" borderId="1" xfId="0" applyNumberFormat="1" applyFill="1" applyBorder="1" applyAlignment="1">
      <alignment horizontal="center"/>
    </xf>
    <xf numFmtId="9" fontId="0" fillId="6" borderId="1" xfId="0" applyNumberFormat="1" applyFill="1" applyBorder="1" applyAlignment="1">
      <alignment horizontal="center"/>
    </xf>
    <xf numFmtId="0" fontId="5" fillId="0" borderId="0" xfId="0" applyFont="1" applyAlignment="1">
      <alignment vertical="top" wrapText="1"/>
    </xf>
    <xf numFmtId="0" fontId="2" fillId="3" borderId="0" xfId="0" applyFont="1" applyFill="1"/>
    <xf numFmtId="165" fontId="0" fillId="0" borderId="1" xfId="0" applyNumberFormat="1" applyBorder="1" applyAlignment="1">
      <alignment horizontal="center"/>
    </xf>
    <xf numFmtId="0" fontId="6" fillId="0" borderId="0" xfId="0" applyFont="1" applyAlignment="1">
      <alignment vertical="top" wrapText="1"/>
    </xf>
    <xf numFmtId="0" fontId="0" fillId="0" borderId="1" xfId="0" applyBorder="1" applyAlignment="1">
      <alignment horizontal="center"/>
    </xf>
    <xf numFmtId="1" fontId="0" fillId="0" borderId="1" xfId="0" applyNumberFormat="1" applyBorder="1" applyAlignment="1">
      <alignment horizontal="center"/>
    </xf>
    <xf numFmtId="1" fontId="0" fillId="4" borderId="1" xfId="0" applyNumberFormat="1" applyFill="1" applyBorder="1" applyAlignment="1">
      <alignment horizontal="center"/>
    </xf>
    <xf numFmtId="1" fontId="0" fillId="5" borderId="1" xfId="0" applyNumberFormat="1" applyFill="1" applyBorder="1" applyAlignment="1">
      <alignment horizontal="center"/>
    </xf>
    <xf numFmtId="164" fontId="0" fillId="4" borderId="1" xfId="0" applyNumberFormat="1" applyFill="1" applyBorder="1" applyAlignment="1">
      <alignment horizontal="center"/>
    </xf>
    <xf numFmtId="164" fontId="0" fillId="5" borderId="1" xfId="0" applyNumberFormat="1" applyFill="1" applyBorder="1" applyAlignment="1">
      <alignment horizontal="center"/>
    </xf>
    <xf numFmtId="0" fontId="3" fillId="6" borderId="1" xfId="0" applyFont="1" applyFill="1" applyBorder="1" applyAlignment="1">
      <alignment horizontal="center"/>
    </xf>
    <xf numFmtId="164" fontId="0" fillId="0" borderId="0" xfId="0" applyNumberFormat="1"/>
    <xf numFmtId="0" fontId="4" fillId="7" borderId="1" xfId="0" applyFont="1" applyFill="1" applyBorder="1" applyAlignment="1">
      <alignment horizontal="center" wrapText="1"/>
    </xf>
    <xf numFmtId="0" fontId="4" fillId="7" borderId="1" xfId="0" applyFont="1" applyFill="1" applyBorder="1"/>
    <xf numFmtId="0" fontId="4" fillId="7" borderId="1" xfId="0" applyFont="1" applyFill="1" applyBorder="1" applyAlignment="1">
      <alignment horizontal="center"/>
    </xf>
    <xf numFmtId="165" fontId="0" fillId="0" borderId="0" xfId="0" applyNumberFormat="1"/>
    <xf numFmtId="0" fontId="0" fillId="0" borderId="1" xfId="0" applyBorder="1"/>
    <xf numFmtId="0" fontId="0" fillId="7" borderId="1" xfId="0" applyFill="1" applyBorder="1"/>
    <xf numFmtId="0" fontId="1" fillId="2" borderId="0" xfId="0" applyFont="1" applyFill="1"/>
    <xf numFmtId="0" fontId="0" fillId="2" borderId="0" xfId="0" applyFill="1"/>
    <xf numFmtId="0" fontId="0" fillId="6" borderId="0" xfId="0" applyFill="1"/>
    <xf numFmtId="166" fontId="0" fillId="6" borderId="1" xfId="0" applyNumberFormat="1" applyFill="1" applyBorder="1" applyAlignment="1">
      <alignment horizontal="center"/>
    </xf>
    <xf numFmtId="0" fontId="0" fillId="0" borderId="2" xfId="0" applyBorder="1"/>
    <xf numFmtId="9" fontId="0" fillId="6" borderId="1" xfId="0" applyNumberFormat="1" applyFill="1" applyBorder="1" applyAlignment="1">
      <alignment horizontal="center"/>
    </xf>
    <xf numFmtId="1" fontId="0" fillId="6" borderId="1" xfId="0" applyNumberFormat="1" applyFill="1" applyBorder="1" applyAlignment="1">
      <alignment horizontal="center"/>
    </xf>
    <xf numFmtId="164" fontId="0" fillId="6" borderId="1" xfId="0" applyNumberFormat="1" applyFill="1" applyBorder="1" applyAlignment="1">
      <alignment horizontal="center"/>
    </xf>
    <xf numFmtId="2" fontId="0" fillId="6" borderId="1" xfId="0" applyNumberFormat="1" applyFill="1" applyBorder="1" applyAlignment="1">
      <alignment horizontal="center"/>
    </xf>
    <xf numFmtId="0" fontId="5"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Distribution of total race time: Static vs Reactive</a:t>
            </a:r>
          </a:p>
        </c:rich>
      </c:tx>
      <c:overlay val="1"/>
    </c:title>
    <c:autoTitleDeleted val="0"/>
    <c:plotArea>
      <c:layout/>
      <c:barChart>
        <c:barDir val="col"/>
        <c:grouping val="clustered"/>
        <c:varyColors val="1"/>
        <c:ser>
          <c:idx val="0"/>
          <c:order val="0"/>
          <c:tx>
            <c:strRef>
              <c:f>Dashboard!$B$3</c:f>
              <c:strCache>
                <c:ptCount val="1"/>
                <c:pt idx="0">
                  <c:v>STATIC count</c:v>
                </c:pt>
              </c:strCache>
            </c:strRef>
          </c:tx>
          <c:spPr>
            <a:solidFill>
              <a:srgbClr val="70AD47"/>
            </a:solidFill>
            <a:ln>
              <a:prstDash val="solid"/>
            </a:ln>
          </c:spPr>
          <c:invertIfNegative val="1"/>
          <c:cat>
            <c:numRef>
              <c:f>Dashboard!$A$4:$A$19</c:f>
              <c:numCache>
                <c:formatCode>0.0</c:formatCode>
                <c:ptCount val="16"/>
                <c:pt idx="0">
                  <c:v>4540</c:v>
                </c:pt>
                <c:pt idx="1">
                  <c:v>4541.5</c:v>
                </c:pt>
                <c:pt idx="2">
                  <c:v>4543</c:v>
                </c:pt>
                <c:pt idx="3">
                  <c:v>4544.5</c:v>
                </c:pt>
                <c:pt idx="4">
                  <c:v>4546</c:v>
                </c:pt>
                <c:pt idx="5">
                  <c:v>4547.5</c:v>
                </c:pt>
                <c:pt idx="6">
                  <c:v>4549</c:v>
                </c:pt>
                <c:pt idx="7">
                  <c:v>4550.5</c:v>
                </c:pt>
                <c:pt idx="8">
                  <c:v>4552</c:v>
                </c:pt>
                <c:pt idx="9">
                  <c:v>4553.5</c:v>
                </c:pt>
                <c:pt idx="10">
                  <c:v>4555</c:v>
                </c:pt>
                <c:pt idx="11">
                  <c:v>4556.5</c:v>
                </c:pt>
                <c:pt idx="12">
                  <c:v>4558</c:v>
                </c:pt>
                <c:pt idx="13">
                  <c:v>4559.5</c:v>
                </c:pt>
                <c:pt idx="14">
                  <c:v>4561</c:v>
                </c:pt>
                <c:pt idx="15">
                  <c:v>4562.5</c:v>
                </c:pt>
              </c:numCache>
            </c:numRef>
          </c:cat>
          <c:val>
            <c:numRef>
              <c:f>Dashboard!$B$4:$B$19</c:f>
              <c:numCache>
                <c:formatCode>General</c:formatCode>
                <c:ptCount val="16"/>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F5BD-6741-A8E4-BFF18B63D9EB}"/>
            </c:ext>
          </c:extLst>
        </c:ser>
        <c:ser>
          <c:idx val="1"/>
          <c:order val="1"/>
          <c:tx>
            <c:strRef>
              <c:f>Dashboard!$C$3</c:f>
              <c:strCache>
                <c:ptCount val="1"/>
                <c:pt idx="0">
                  <c:v>REACTIVE count</c:v>
                </c:pt>
              </c:strCache>
            </c:strRef>
          </c:tx>
          <c:spPr>
            <a:solidFill>
              <a:srgbClr val="ED7D31"/>
            </a:solidFill>
            <a:ln>
              <a:prstDash val="solid"/>
            </a:ln>
          </c:spPr>
          <c:invertIfNegative val="1"/>
          <c:cat>
            <c:numRef>
              <c:f>Dashboard!$A$4:$A$19</c:f>
              <c:numCache>
                <c:formatCode>0.0</c:formatCode>
                <c:ptCount val="16"/>
                <c:pt idx="0">
                  <c:v>4540</c:v>
                </c:pt>
                <c:pt idx="1">
                  <c:v>4541.5</c:v>
                </c:pt>
                <c:pt idx="2">
                  <c:v>4543</c:v>
                </c:pt>
                <c:pt idx="3">
                  <c:v>4544.5</c:v>
                </c:pt>
                <c:pt idx="4">
                  <c:v>4546</c:v>
                </c:pt>
                <c:pt idx="5">
                  <c:v>4547.5</c:v>
                </c:pt>
                <c:pt idx="6">
                  <c:v>4549</c:v>
                </c:pt>
                <c:pt idx="7">
                  <c:v>4550.5</c:v>
                </c:pt>
                <c:pt idx="8">
                  <c:v>4552</c:v>
                </c:pt>
                <c:pt idx="9">
                  <c:v>4553.5</c:v>
                </c:pt>
                <c:pt idx="10">
                  <c:v>4555</c:v>
                </c:pt>
                <c:pt idx="11">
                  <c:v>4556.5</c:v>
                </c:pt>
                <c:pt idx="12">
                  <c:v>4558</c:v>
                </c:pt>
                <c:pt idx="13">
                  <c:v>4559.5</c:v>
                </c:pt>
                <c:pt idx="14">
                  <c:v>4561</c:v>
                </c:pt>
                <c:pt idx="15">
                  <c:v>4562.5</c:v>
                </c:pt>
              </c:numCache>
            </c:numRef>
          </c:cat>
          <c:val>
            <c:numRef>
              <c:f>Dashboard!$C$4:$C$19</c:f>
              <c:numCache>
                <c:formatCode>General</c:formatCode>
                <c:ptCount val="16"/>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F5BD-6741-A8E4-BFF18B63D9EB}"/>
            </c:ext>
          </c:extLst>
        </c:ser>
        <c:dLbls>
          <c:showLegendKey val="0"/>
          <c:showVal val="0"/>
          <c:showCatName val="0"/>
          <c:showSerName val="0"/>
          <c:showPercent val="0"/>
          <c:showBubbleSize val="0"/>
        </c:dLbls>
        <c:gapWidth val="150"/>
        <c:overlap val="20"/>
        <c:axId val="10"/>
        <c:axId val="100"/>
      </c:barChart>
      <c:catAx>
        <c:axId val="10"/>
        <c:scaling>
          <c:orientation val="minMax"/>
        </c:scaling>
        <c:delete val="1"/>
        <c:axPos val="b"/>
        <c:title>
          <c:tx>
            <c:rich>
              <a:bodyPr/>
              <a:lstStyle/>
              <a:p>
                <a:pPr>
                  <a:defRPr/>
                </a:pPr>
                <a:r>
                  <a:rPr lang="en-GB"/>
                  <a:t>Total race time (s)  -  lower is better</a:t>
                </a:r>
              </a:p>
            </c:rich>
          </c:tx>
          <c:overlay val="1"/>
        </c:title>
        <c:numFmt formatCode="0.0"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GB"/>
                  <a:t>Number of races (out of 1,000)</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0</xdr:colOff>
      <xdr:row>2</xdr:row>
      <xdr:rowOff>0</xdr:rowOff>
    </xdr:from>
    <xdr:ext cx="7200000" cy="324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B1:B21"/>
  <sheetViews>
    <sheetView zoomScale="118" workbookViewId="0"/>
  </sheetViews>
  <sheetFormatPr baseColWidth="10" defaultColWidth="8.83203125" defaultRowHeight="15" x14ac:dyDescent="0.2"/>
  <cols>
    <col min="1" max="1" width="3" customWidth="1"/>
    <col min="2" max="2" width="102" customWidth="1"/>
  </cols>
  <sheetData>
    <row r="1" spans="2:2" ht="26" customHeight="1" x14ac:dyDescent="0.2">
      <c r="B1" s="1" t="s">
        <v>0</v>
      </c>
    </row>
    <row r="2" spans="2:2" x14ac:dyDescent="0.2">
      <c r="B2" s="2"/>
    </row>
    <row r="3" spans="2:2" ht="16" x14ac:dyDescent="0.2">
      <c r="B3" s="3" t="s">
        <v>1</v>
      </c>
    </row>
    <row r="4" spans="2:2" ht="32" x14ac:dyDescent="0.2">
      <c r="B4" s="2" t="s">
        <v>2</v>
      </c>
    </row>
    <row r="5" spans="2:2" ht="16" x14ac:dyDescent="0.2">
      <c r="B5" s="2" t="s">
        <v>3</v>
      </c>
    </row>
    <row r="6" spans="2:2" x14ac:dyDescent="0.2">
      <c r="B6" s="2"/>
    </row>
    <row r="7" spans="2:2" ht="16" x14ac:dyDescent="0.2">
      <c r="B7" s="3" t="s">
        <v>4</v>
      </c>
    </row>
    <row r="8" spans="2:2" ht="16" x14ac:dyDescent="0.2">
      <c r="B8" s="4" t="s">
        <v>5</v>
      </c>
    </row>
    <row r="9" spans="2:2" ht="16" x14ac:dyDescent="0.2">
      <c r="B9" s="5" t="s">
        <v>6</v>
      </c>
    </row>
    <row r="10" spans="2:2" ht="16" x14ac:dyDescent="0.2">
      <c r="B10" s="5" t="s">
        <v>7</v>
      </c>
    </row>
    <row r="11" spans="2:2" x14ac:dyDescent="0.2">
      <c r="B11" s="2"/>
    </row>
    <row r="12" spans="2:2" ht="16" x14ac:dyDescent="0.2">
      <c r="B12" s="3" t="s">
        <v>8</v>
      </c>
    </row>
    <row r="13" spans="2:2" ht="16" x14ac:dyDescent="0.2">
      <c r="B13" s="2" t="s">
        <v>9</v>
      </c>
    </row>
    <row r="14" spans="2:2" ht="16" x14ac:dyDescent="0.2">
      <c r="B14" s="2" t="s">
        <v>10</v>
      </c>
    </row>
    <row r="15" spans="2:2" ht="16" x14ac:dyDescent="0.2">
      <c r="B15" s="2" t="s">
        <v>11</v>
      </c>
    </row>
    <row r="16" spans="2:2" ht="16" x14ac:dyDescent="0.2">
      <c r="B16" s="2" t="s">
        <v>12</v>
      </c>
    </row>
    <row r="17" spans="2:2" x14ac:dyDescent="0.2">
      <c r="B17" s="2"/>
    </row>
    <row r="18" spans="2:2" ht="16" x14ac:dyDescent="0.2">
      <c r="B18" s="6" t="s">
        <v>13</v>
      </c>
    </row>
    <row r="19" spans="2:2" ht="16" x14ac:dyDescent="0.2">
      <c r="B19" s="2" t="s">
        <v>14</v>
      </c>
    </row>
    <row r="21" spans="2:2" ht="16" x14ac:dyDescent="0.2">
      <c r="B21" s="6"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496"/>
  </sheetPr>
  <dimension ref="A1:C17"/>
  <sheetViews>
    <sheetView workbookViewId="0"/>
  </sheetViews>
  <sheetFormatPr baseColWidth="10" defaultColWidth="8.83203125" defaultRowHeight="15" x14ac:dyDescent="0.2"/>
  <cols>
    <col min="1" max="1" width="14" customWidth="1"/>
    <col min="2" max="2" width="12" customWidth="1"/>
    <col min="3" max="3" width="74" customWidth="1"/>
  </cols>
  <sheetData>
    <row r="1" spans="1:3" x14ac:dyDescent="0.2">
      <c r="A1" s="7" t="s">
        <v>16</v>
      </c>
      <c r="B1" s="8"/>
      <c r="C1" s="8"/>
    </row>
    <row r="2" spans="1:3" x14ac:dyDescent="0.2">
      <c r="A2" s="9" t="s">
        <v>17</v>
      </c>
      <c r="B2" s="9" t="s">
        <v>18</v>
      </c>
      <c r="C2" s="9" t="s">
        <v>19</v>
      </c>
    </row>
    <row r="3" spans="1:3" ht="16" x14ac:dyDescent="0.2">
      <c r="A3" s="10" t="s">
        <v>20</v>
      </c>
      <c r="B3" s="11">
        <v>50</v>
      </c>
      <c r="C3" s="2" t="s">
        <v>21</v>
      </c>
    </row>
    <row r="4" spans="1:3" ht="16" x14ac:dyDescent="0.2">
      <c r="A4" s="10" t="s">
        <v>22</v>
      </c>
      <c r="B4" s="12">
        <v>90</v>
      </c>
      <c r="C4" s="2" t="s">
        <v>23</v>
      </c>
    </row>
    <row r="5" spans="1:3" ht="16" x14ac:dyDescent="0.2">
      <c r="A5" s="10" t="s">
        <v>24</v>
      </c>
      <c r="B5" s="13">
        <v>0.06</v>
      </c>
      <c r="C5" s="2" t="s">
        <v>25</v>
      </c>
    </row>
    <row r="6" spans="1:3" ht="16" x14ac:dyDescent="0.2">
      <c r="A6" s="10" t="s">
        <v>26</v>
      </c>
      <c r="B6" s="12">
        <v>23</v>
      </c>
      <c r="C6" s="2" t="s">
        <v>27</v>
      </c>
    </row>
    <row r="7" spans="1:3" ht="16" x14ac:dyDescent="0.2">
      <c r="A7" s="10" t="s">
        <v>28</v>
      </c>
      <c r="B7" s="12">
        <v>6</v>
      </c>
      <c r="C7" s="2" t="s">
        <v>29</v>
      </c>
    </row>
    <row r="8" spans="1:3" ht="16" x14ac:dyDescent="0.2">
      <c r="A8" s="10" t="s">
        <v>30</v>
      </c>
      <c r="B8" s="11">
        <v>23</v>
      </c>
      <c r="C8" s="2" t="s">
        <v>31</v>
      </c>
    </row>
    <row r="9" spans="1:3" ht="16" x14ac:dyDescent="0.2">
      <c r="A9" s="10" t="s">
        <v>32</v>
      </c>
      <c r="B9" s="11">
        <v>25</v>
      </c>
      <c r="C9" s="2" t="s">
        <v>33</v>
      </c>
    </row>
    <row r="10" spans="1:3" ht="16" x14ac:dyDescent="0.2">
      <c r="A10" s="10" t="s">
        <v>34</v>
      </c>
      <c r="B10" s="11">
        <v>30</v>
      </c>
      <c r="C10" s="2" t="s">
        <v>35</v>
      </c>
    </row>
    <row r="11" spans="1:3" ht="16" x14ac:dyDescent="0.2">
      <c r="A11" s="10" t="s">
        <v>36</v>
      </c>
      <c r="B11" s="11">
        <v>26</v>
      </c>
      <c r="C11" s="2" t="s">
        <v>37</v>
      </c>
    </row>
    <row r="12" spans="1:3" ht="16" x14ac:dyDescent="0.2">
      <c r="A12" s="10" t="s">
        <v>38</v>
      </c>
      <c r="B12" s="11">
        <v>30</v>
      </c>
      <c r="C12" s="2" t="s">
        <v>39</v>
      </c>
    </row>
    <row r="13" spans="1:3" ht="16" x14ac:dyDescent="0.2">
      <c r="A13" s="10" t="s">
        <v>40</v>
      </c>
      <c r="B13" s="14">
        <v>0.35</v>
      </c>
      <c r="C13" s="2" t="s">
        <v>41</v>
      </c>
    </row>
    <row r="14" spans="1:3" ht="16" x14ac:dyDescent="0.2">
      <c r="A14" s="10" t="s">
        <v>42</v>
      </c>
      <c r="B14" s="12">
        <v>1</v>
      </c>
      <c r="C14" s="2" t="s">
        <v>43</v>
      </c>
    </row>
    <row r="15" spans="1:3" ht="16" x14ac:dyDescent="0.2">
      <c r="A15" s="10" t="s">
        <v>44</v>
      </c>
      <c r="B15" s="12">
        <v>2</v>
      </c>
      <c r="C15" s="2" t="s">
        <v>45</v>
      </c>
    </row>
    <row r="17" spans="3:3" ht="32" x14ac:dyDescent="0.2">
      <c r="C17" s="15" t="s">
        <v>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48235"/>
  </sheetPr>
  <dimension ref="A1:C24"/>
  <sheetViews>
    <sheetView workbookViewId="0"/>
  </sheetViews>
  <sheetFormatPr baseColWidth="10" defaultColWidth="8.83203125" defaultRowHeight="15" x14ac:dyDescent="0.2"/>
  <cols>
    <col min="1" max="1" width="44" customWidth="1"/>
    <col min="2" max="2" width="16" customWidth="1"/>
    <col min="3" max="3" width="46" customWidth="1"/>
  </cols>
  <sheetData>
    <row r="1" spans="1:3" x14ac:dyDescent="0.2">
      <c r="A1" s="7" t="s">
        <v>47</v>
      </c>
      <c r="B1" s="8"/>
      <c r="C1" s="8"/>
    </row>
    <row r="2" spans="1:3" x14ac:dyDescent="0.2">
      <c r="A2" s="16" t="s">
        <v>48</v>
      </c>
    </row>
    <row r="3" spans="1:3" x14ac:dyDescent="0.2">
      <c r="A3" t="s">
        <v>49</v>
      </c>
      <c r="B3" s="17">
        <f ca="1">RAND()</f>
        <v>0.43228573063468656</v>
      </c>
      <c r="C3" s="18" t="s">
        <v>50</v>
      </c>
    </row>
    <row r="4" spans="1:3" x14ac:dyDescent="0.2">
      <c r="A4" t="s">
        <v>51</v>
      </c>
      <c r="B4" s="17">
        <f ca="1">RAND()</f>
        <v>0.65865366810957626</v>
      </c>
    </row>
    <row r="5" spans="1:3" x14ac:dyDescent="0.2">
      <c r="A5" t="s">
        <v>52</v>
      </c>
      <c r="B5" s="17">
        <f ca="1">RAND()</f>
        <v>0.24871103771423575</v>
      </c>
    </row>
    <row r="6" spans="1:3" x14ac:dyDescent="0.2">
      <c r="A6" t="s">
        <v>53</v>
      </c>
      <c r="B6" s="17">
        <f ca="1">RAND()</f>
        <v>0.42277853079257199</v>
      </c>
    </row>
    <row r="8" spans="1:3" x14ac:dyDescent="0.2">
      <c r="A8" s="16" t="s">
        <v>54</v>
      </c>
    </row>
    <row r="9" spans="1:3" x14ac:dyDescent="0.2">
      <c r="A9" t="s">
        <v>55</v>
      </c>
      <c r="B9" s="19" t="str">
        <f ca="1">IF(B3&lt;ProbSC,"YES","NO")</f>
        <v>NO</v>
      </c>
      <c r="C9" s="18" t="s">
        <v>56</v>
      </c>
    </row>
    <row r="10" spans="1:3" x14ac:dyDescent="0.2">
      <c r="A10" t="s">
        <v>57</v>
      </c>
      <c r="B10" s="20">
        <f ca="1">ReactMin+INT(B4*(ReactMax-ReactMin+1))</f>
        <v>29</v>
      </c>
      <c r="C10" s="18" t="s">
        <v>58</v>
      </c>
    </row>
    <row r="12" spans="1:3" x14ac:dyDescent="0.2">
      <c r="A12" s="16" t="s">
        <v>59</v>
      </c>
    </row>
    <row r="13" spans="1:3" x14ac:dyDescent="0.2">
      <c r="A13" t="s">
        <v>60</v>
      </c>
      <c r="B13" s="21">
        <f>PlanLap</f>
        <v>25</v>
      </c>
    </row>
    <row r="14" spans="1:3" x14ac:dyDescent="0.2">
      <c r="A14" t="s">
        <v>61</v>
      </c>
      <c r="B14" s="22">
        <f ca="1">IF(B9="YES",B10,MustLap)</f>
        <v>30</v>
      </c>
      <c r="C14" s="18" t="s">
        <v>62</v>
      </c>
    </row>
    <row r="15" spans="1:3" x14ac:dyDescent="0.2">
      <c r="A15" t="s">
        <v>63</v>
      </c>
      <c r="B15" s="23">
        <f>PitGreen</f>
        <v>23</v>
      </c>
    </row>
    <row r="16" spans="1:3" x14ac:dyDescent="0.2">
      <c r="A16" t="s">
        <v>64</v>
      </c>
      <c r="B16" s="24">
        <f ca="1">IF(B9="YES",PitSC,PitGreen)</f>
        <v>23</v>
      </c>
    </row>
    <row r="18" spans="1:2" x14ac:dyDescent="0.2">
      <c r="A18" s="16" t="s">
        <v>65</v>
      </c>
    </row>
    <row r="19" spans="1:2" x14ac:dyDescent="0.2">
      <c r="A19" s="9" t="s">
        <v>66</v>
      </c>
      <c r="B19" s="23">
        <f ca="1">BaseLap*Laps+Deg*(PlanLap*(PlanLap-1)/2+(Laps-PlanLap)*(Laps-PlanLap-1)/2)+PitGreen+NORMINV(B5,0,NoiseSD)</f>
        <v>4558.3214484894979</v>
      </c>
    </row>
    <row r="20" spans="1:2" x14ac:dyDescent="0.2">
      <c r="A20" s="9" t="s">
        <v>67</v>
      </c>
      <c r="B20" s="24">
        <f ca="1">BaseLap*Laps+Deg*(B14*(B14-1)/2+(Laps-B14)*(Laps-B14-1)/2)+B16+NORMINV(B6,0,NoiseSD)</f>
        <v>4560.3052096300917</v>
      </c>
    </row>
    <row r="21" spans="1:2" x14ac:dyDescent="0.2">
      <c r="A21" s="9" t="s">
        <v>68</v>
      </c>
      <c r="B21" s="25" t="str">
        <f ca="1">IF(B19&lt;B20,"STATIC","REACTIVE")</f>
        <v>STATIC</v>
      </c>
    </row>
    <row r="22" spans="1:2" x14ac:dyDescent="0.2">
      <c r="A22" t="s">
        <v>69</v>
      </c>
      <c r="B22" s="26">
        <f ca="1">ABS(B19-B20)</f>
        <v>1.9837611405937423</v>
      </c>
    </row>
    <row r="24" spans="1:2" ht="64" x14ac:dyDescent="0.2">
      <c r="A24" s="15" t="s">
        <v>70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5A11"/>
  </sheetPr>
  <dimension ref="A1:M1003"/>
  <sheetViews>
    <sheetView workbookViewId="0"/>
  </sheetViews>
  <sheetFormatPr baseColWidth="10" defaultColWidth="8.83203125" defaultRowHeight="15" x14ac:dyDescent="0.2"/>
  <cols>
    <col min="1" max="1" width="7" customWidth="1"/>
    <col min="2" max="2" width="8" customWidth="1"/>
    <col min="3" max="3" width="10" customWidth="1"/>
    <col min="4" max="4" width="8" customWidth="1"/>
    <col min="5" max="6" width="12" customWidth="1"/>
    <col min="7" max="7" width="13" customWidth="1"/>
    <col min="8" max="8" width="11" customWidth="1"/>
    <col min="9" max="9" width="13" customWidth="1"/>
    <col min="11" max="11" width="30" customWidth="1"/>
    <col min="12" max="13" width="13" customWidth="1"/>
  </cols>
  <sheetData>
    <row r="1" spans="1:13" x14ac:dyDescent="0.2">
      <c r="A1" s="7" t="s">
        <v>71</v>
      </c>
      <c r="B1" s="8"/>
      <c r="C1" s="8"/>
      <c r="D1" s="8"/>
      <c r="E1" s="8"/>
      <c r="F1" s="8"/>
      <c r="G1" s="8"/>
      <c r="H1" s="8"/>
      <c r="I1" s="8"/>
    </row>
    <row r="3" spans="1:13" ht="16" x14ac:dyDescent="0.2">
      <c r="A3" s="27" t="s">
        <v>72</v>
      </c>
      <c r="B3" s="27" t="s">
        <v>73</v>
      </c>
      <c r="C3" s="27" t="s">
        <v>74</v>
      </c>
      <c r="D3" s="27" t="s">
        <v>75</v>
      </c>
      <c r="E3" s="27" t="s">
        <v>76</v>
      </c>
      <c r="F3" s="27" t="s">
        <v>77</v>
      </c>
      <c r="G3" s="27" t="s">
        <v>78</v>
      </c>
      <c r="H3" s="27" t="s">
        <v>79</v>
      </c>
      <c r="I3" s="27" t="s">
        <v>80</v>
      </c>
      <c r="K3" s="28" t="s">
        <v>81</v>
      </c>
      <c r="L3" s="29" t="s">
        <v>82</v>
      </c>
      <c r="M3" s="29" t="s">
        <v>83</v>
      </c>
    </row>
    <row r="4" spans="1:13" x14ac:dyDescent="0.2">
      <c r="A4">
        <v>1</v>
      </c>
      <c r="B4" s="30">
        <f t="shared" ref="B4:B67" ca="1" si="0">RAND()</f>
        <v>0.72050008506293239</v>
      </c>
      <c r="C4" t="b">
        <f t="shared" ref="C4:C67" ca="1" si="1">B4&lt;ProbSC</f>
        <v>0</v>
      </c>
      <c r="D4">
        <f t="shared" ref="D4:D67" ca="1" si="2">ReactMin+INT(RAND()*(ReactMax-ReactMin+1))</f>
        <v>28</v>
      </c>
      <c r="E4">
        <f t="shared" ref="E4:E67" ca="1" si="3">IF(C4,D4,MustLap)</f>
        <v>30</v>
      </c>
      <c r="F4" s="26">
        <f t="shared" ref="F4:F67" ca="1" si="4">BaseLap*Laps+Deg*(PlanLap*(PlanLap-1)/2+(Laps-PlanLap)*(Laps-PlanLap-1)/2)+PitGreen+NORMINV(RAND(),0,NoiseSD)</f>
        <v>4559.5477343848615</v>
      </c>
      <c r="G4" s="26">
        <f t="shared" ref="G4:G67" ca="1" si="5">BaseLap*Laps+Deg*(E4*(E4-1)/2+(Laps-E4)*(Laps-E4-1)/2)+IF(C4,PitSC,PitGreen)+NORMINV(RAND(),0,NoiseSD)</f>
        <v>4559.4837451354924</v>
      </c>
      <c r="H4" t="str">
        <f t="shared" ref="H4:H67" ca="1" si="6">IF(F4&lt;G4,"Static","Reactive")</f>
        <v>Reactive</v>
      </c>
      <c r="I4" s="26">
        <f t="shared" ref="I4:I67" ca="1" si="7">F4-G4</f>
        <v>6.3989249369114987E-2</v>
      </c>
      <c r="K4" s="31" t="s">
        <v>84</v>
      </c>
      <c r="L4" s="12"/>
      <c r="M4" s="12"/>
    </row>
    <row r="5" spans="1:13" x14ac:dyDescent="0.2">
      <c r="A5">
        <v>2</v>
      </c>
      <c r="B5" s="30">
        <f t="shared" ca="1" si="0"/>
        <v>0.30365365170572234</v>
      </c>
      <c r="C5" t="b">
        <f t="shared" ca="1" si="1"/>
        <v>1</v>
      </c>
      <c r="D5">
        <f t="shared" ca="1" si="2"/>
        <v>29</v>
      </c>
      <c r="E5">
        <f t="shared" ca="1" si="3"/>
        <v>29</v>
      </c>
      <c r="F5" s="26">
        <f t="shared" ca="1" si="4"/>
        <v>4559.3634917925638</v>
      </c>
      <c r="G5" s="26">
        <f t="shared" ca="1" si="5"/>
        <v>4542.3110202500557</v>
      </c>
      <c r="H5" t="str">
        <f t="shared" ca="1" si="6"/>
        <v>Reactive</v>
      </c>
      <c r="I5" s="26">
        <f t="shared" ca="1" si="7"/>
        <v>17.052471542508101</v>
      </c>
      <c r="K5" s="31" t="s">
        <v>85</v>
      </c>
      <c r="L5" s="12"/>
      <c r="M5" s="12"/>
    </row>
    <row r="6" spans="1:13" x14ac:dyDescent="0.2">
      <c r="A6">
        <v>3</v>
      </c>
      <c r="B6" s="30">
        <f t="shared" ca="1" si="0"/>
        <v>0.18763642020325766</v>
      </c>
      <c r="C6" t="b">
        <f t="shared" ca="1" si="1"/>
        <v>1</v>
      </c>
      <c r="D6">
        <f t="shared" ca="1" si="2"/>
        <v>27</v>
      </c>
      <c r="E6">
        <f t="shared" ca="1" si="3"/>
        <v>27</v>
      </c>
      <c r="F6" s="26">
        <f t="shared" ca="1" si="4"/>
        <v>4558.5386054331811</v>
      </c>
      <c r="G6" s="26">
        <f t="shared" ca="1" si="5"/>
        <v>4541.1125813501603</v>
      </c>
      <c r="H6" t="str">
        <f t="shared" ca="1" si="6"/>
        <v>Reactive</v>
      </c>
      <c r="I6" s="26">
        <f t="shared" ca="1" si="7"/>
        <v>17.42602408302082</v>
      </c>
      <c r="K6" s="31" t="s">
        <v>86</v>
      </c>
      <c r="L6" s="12"/>
      <c r="M6" s="12"/>
    </row>
    <row r="7" spans="1:13" x14ac:dyDescent="0.2">
      <c r="A7">
        <v>4</v>
      </c>
      <c r="B7" s="30">
        <f t="shared" ca="1" si="0"/>
        <v>6.169460882116673E-3</v>
      </c>
      <c r="C7" t="b">
        <f t="shared" ca="1" si="1"/>
        <v>1</v>
      </c>
      <c r="D7">
        <f t="shared" ca="1" si="2"/>
        <v>29</v>
      </c>
      <c r="E7">
        <f t="shared" ca="1" si="3"/>
        <v>29</v>
      </c>
      <c r="F7" s="26">
        <f t="shared" ca="1" si="4"/>
        <v>4559.453306205236</v>
      </c>
      <c r="G7" s="26">
        <f t="shared" ca="1" si="5"/>
        <v>4541.8259127958454</v>
      </c>
      <c r="H7" t="str">
        <f t="shared" ca="1" si="6"/>
        <v>Reactive</v>
      </c>
      <c r="I7" s="26">
        <f t="shared" ca="1" si="7"/>
        <v>17.627393409390606</v>
      </c>
      <c r="K7" s="31" t="s">
        <v>87</v>
      </c>
      <c r="L7" s="12"/>
      <c r="M7" s="12"/>
    </row>
    <row r="8" spans="1:13" x14ac:dyDescent="0.2">
      <c r="A8">
        <v>5</v>
      </c>
      <c r="B8" s="30">
        <f t="shared" ca="1" si="0"/>
        <v>0.96282286973366982</v>
      </c>
      <c r="C8" t="b">
        <f t="shared" ca="1" si="1"/>
        <v>0</v>
      </c>
      <c r="D8">
        <f t="shared" ca="1" si="2"/>
        <v>29</v>
      </c>
      <c r="E8">
        <f t="shared" ca="1" si="3"/>
        <v>30</v>
      </c>
      <c r="F8" s="26">
        <f t="shared" ca="1" si="4"/>
        <v>4558.5679010471495</v>
      </c>
      <c r="G8" s="26">
        <f t="shared" ca="1" si="5"/>
        <v>4561.2028842840873</v>
      </c>
      <c r="H8" t="str">
        <f t="shared" ca="1" si="6"/>
        <v>Static</v>
      </c>
      <c r="I8" s="26">
        <f t="shared" ca="1" si="7"/>
        <v>-2.6349832369378419</v>
      </c>
      <c r="K8" s="31" t="s">
        <v>88</v>
      </c>
      <c r="L8" s="12"/>
      <c r="M8" s="12"/>
    </row>
    <row r="9" spans="1:13" x14ac:dyDescent="0.2">
      <c r="A9">
        <v>6</v>
      </c>
      <c r="B9" s="30">
        <f t="shared" ca="1" si="0"/>
        <v>0.91463551358753559</v>
      </c>
      <c r="C9" t="b">
        <f t="shared" ca="1" si="1"/>
        <v>0</v>
      </c>
      <c r="D9">
        <f t="shared" ca="1" si="2"/>
        <v>28</v>
      </c>
      <c r="E9">
        <f t="shared" ca="1" si="3"/>
        <v>30</v>
      </c>
      <c r="F9" s="26">
        <f t="shared" ca="1" si="4"/>
        <v>4558.9732458784802</v>
      </c>
      <c r="G9" s="26">
        <f t="shared" ca="1" si="5"/>
        <v>4561.9191445182223</v>
      </c>
      <c r="H9" t="str">
        <f t="shared" ca="1" si="6"/>
        <v>Static</v>
      </c>
      <c r="I9" s="26">
        <f t="shared" ca="1" si="7"/>
        <v>-2.945898639742154</v>
      </c>
    </row>
    <row r="10" spans="1:13" x14ac:dyDescent="0.2">
      <c r="A10">
        <v>7</v>
      </c>
      <c r="B10" s="30">
        <f t="shared" ca="1" si="0"/>
        <v>2.648626679908328E-2</v>
      </c>
      <c r="C10" t="b">
        <f t="shared" ca="1" si="1"/>
        <v>1</v>
      </c>
      <c r="D10">
        <f t="shared" ca="1" si="2"/>
        <v>28</v>
      </c>
      <c r="E10">
        <f t="shared" ca="1" si="3"/>
        <v>28</v>
      </c>
      <c r="F10" s="26">
        <f t="shared" ca="1" si="4"/>
        <v>4558.4172693557048</v>
      </c>
      <c r="G10" s="26">
        <f t="shared" ca="1" si="5"/>
        <v>4541.0847772782699</v>
      </c>
      <c r="H10" t="str">
        <f t="shared" ca="1" si="6"/>
        <v>Reactive</v>
      </c>
      <c r="I10" s="26">
        <f t="shared" ca="1" si="7"/>
        <v>17.332492077434836</v>
      </c>
      <c r="K10" s="28" t="s">
        <v>89</v>
      </c>
      <c r="L10" s="32"/>
      <c r="M10" s="32"/>
    </row>
    <row r="11" spans="1:13" x14ac:dyDescent="0.2">
      <c r="A11">
        <v>8</v>
      </c>
      <c r="B11" s="30">
        <f t="shared" ca="1" si="0"/>
        <v>0.13593923682490539</v>
      </c>
      <c r="C11" t="b">
        <f t="shared" ca="1" si="1"/>
        <v>1</v>
      </c>
      <c r="D11">
        <f t="shared" ca="1" si="2"/>
        <v>29</v>
      </c>
      <c r="E11">
        <f t="shared" ca="1" si="3"/>
        <v>29</v>
      </c>
      <c r="F11" s="26">
        <f t="shared" ca="1" si="4"/>
        <v>4558.8206961579208</v>
      </c>
      <c r="G11" s="26">
        <f t="shared" ca="1" si="5"/>
        <v>4543.6915650657229</v>
      </c>
      <c r="H11" t="str">
        <f t="shared" ca="1" si="6"/>
        <v>Reactive</v>
      </c>
      <c r="I11" s="26">
        <f t="shared" ca="1" si="7"/>
        <v>15.129131092197895</v>
      </c>
      <c r="K11" s="31" t="s">
        <v>90</v>
      </c>
      <c r="L11" s="41"/>
      <c r="M11" s="37"/>
    </row>
    <row r="12" spans="1:13" x14ac:dyDescent="0.2">
      <c r="A12">
        <v>9</v>
      </c>
      <c r="B12" s="30">
        <f t="shared" ca="1" si="0"/>
        <v>6.7974261838944838E-2</v>
      </c>
      <c r="C12" t="b">
        <f t="shared" ca="1" si="1"/>
        <v>1</v>
      </c>
      <c r="D12">
        <f t="shared" ca="1" si="2"/>
        <v>26</v>
      </c>
      <c r="E12">
        <f t="shared" ca="1" si="3"/>
        <v>26</v>
      </c>
      <c r="F12" s="26">
        <f t="shared" ca="1" si="4"/>
        <v>4560.4466572802266</v>
      </c>
      <c r="G12" s="26">
        <f t="shared" ca="1" si="5"/>
        <v>4541.9669576215429</v>
      </c>
      <c r="H12" t="str">
        <f t="shared" ca="1" si="6"/>
        <v>Reactive</v>
      </c>
      <c r="I12" s="26">
        <f t="shared" ca="1" si="7"/>
        <v>18.479699658683785</v>
      </c>
      <c r="K12" s="31" t="s">
        <v>91</v>
      </c>
      <c r="L12" s="38"/>
      <c r="M12" s="37"/>
    </row>
    <row r="13" spans="1:13" x14ac:dyDescent="0.2">
      <c r="A13">
        <v>10</v>
      </c>
      <c r="B13" s="30">
        <f t="shared" ca="1" si="0"/>
        <v>0.42774002195447236</v>
      </c>
      <c r="C13" t="b">
        <f t="shared" ca="1" si="1"/>
        <v>0</v>
      </c>
      <c r="D13">
        <f t="shared" ca="1" si="2"/>
        <v>28</v>
      </c>
      <c r="E13">
        <f t="shared" ca="1" si="3"/>
        <v>30</v>
      </c>
      <c r="F13" s="26">
        <f t="shared" ca="1" si="4"/>
        <v>4558.6513532993158</v>
      </c>
      <c r="G13" s="26">
        <f t="shared" ca="1" si="5"/>
        <v>4559.5266332838037</v>
      </c>
      <c r="H13" t="str">
        <f t="shared" ca="1" si="6"/>
        <v>Static</v>
      </c>
      <c r="I13" s="26">
        <f t="shared" ca="1" si="7"/>
        <v>-0.87527998448786093</v>
      </c>
      <c r="K13" s="31" t="s">
        <v>92</v>
      </c>
      <c r="L13" s="38"/>
      <c r="M13" s="37"/>
    </row>
    <row r="14" spans="1:13" x14ac:dyDescent="0.2">
      <c r="A14">
        <v>11</v>
      </c>
      <c r="B14" s="30">
        <f t="shared" ca="1" si="0"/>
        <v>0.94282137209271466</v>
      </c>
      <c r="C14" t="b">
        <f t="shared" ca="1" si="1"/>
        <v>0</v>
      </c>
      <c r="D14">
        <f t="shared" ca="1" si="2"/>
        <v>26</v>
      </c>
      <c r="E14">
        <f t="shared" ca="1" si="3"/>
        <v>30</v>
      </c>
      <c r="F14" s="26">
        <f t="shared" ca="1" si="4"/>
        <v>4559.1722099657936</v>
      </c>
      <c r="G14" s="26">
        <f t="shared" ca="1" si="5"/>
        <v>4560.9841347765478</v>
      </c>
      <c r="H14" t="str">
        <f t="shared" ca="1" si="6"/>
        <v>Static</v>
      </c>
      <c r="I14" s="26">
        <f t="shared" ca="1" si="7"/>
        <v>-1.8119248107541353</v>
      </c>
      <c r="K14" s="31" t="s">
        <v>93</v>
      </c>
      <c r="L14" s="40"/>
      <c r="M14" s="37"/>
    </row>
    <row r="15" spans="1:13" x14ac:dyDescent="0.2">
      <c r="A15">
        <v>12</v>
      </c>
      <c r="B15" s="30">
        <f t="shared" ca="1" si="0"/>
        <v>0.94326549937844151</v>
      </c>
      <c r="C15" t="b">
        <f t="shared" ca="1" si="1"/>
        <v>0</v>
      </c>
      <c r="D15">
        <f t="shared" ca="1" si="2"/>
        <v>27</v>
      </c>
      <c r="E15">
        <f t="shared" ca="1" si="3"/>
        <v>30</v>
      </c>
      <c r="F15" s="26">
        <f t="shared" ca="1" si="4"/>
        <v>4557.4813835086834</v>
      </c>
      <c r="G15" s="26">
        <f t="shared" ca="1" si="5"/>
        <v>4560.6534171142766</v>
      </c>
      <c r="H15" t="str">
        <f t="shared" ca="1" si="6"/>
        <v>Static</v>
      </c>
      <c r="I15" s="26">
        <f t="shared" ca="1" si="7"/>
        <v>-3.1720336055932421</v>
      </c>
      <c r="K15" s="31" t="s">
        <v>94</v>
      </c>
      <c r="L15" s="40"/>
      <c r="M15" s="37"/>
    </row>
    <row r="16" spans="1:13" x14ac:dyDescent="0.2">
      <c r="A16">
        <v>13</v>
      </c>
      <c r="B16" s="30">
        <f t="shared" ca="1" si="0"/>
        <v>0.68835762401963763</v>
      </c>
      <c r="C16" t="b">
        <f t="shared" ca="1" si="1"/>
        <v>0</v>
      </c>
      <c r="D16">
        <f t="shared" ca="1" si="2"/>
        <v>30</v>
      </c>
      <c r="E16">
        <f t="shared" ca="1" si="3"/>
        <v>30</v>
      </c>
      <c r="F16" s="26">
        <f t="shared" ca="1" si="4"/>
        <v>4560.6967717446096</v>
      </c>
      <c r="G16" s="26">
        <f t="shared" ca="1" si="5"/>
        <v>4560.4978720220415</v>
      </c>
      <c r="H16" t="str">
        <f t="shared" ca="1" si="6"/>
        <v>Reactive</v>
      </c>
      <c r="I16" s="26">
        <f t="shared" ca="1" si="7"/>
        <v>0.19889972256805777</v>
      </c>
      <c r="K16" s="31" t="s">
        <v>95</v>
      </c>
      <c r="L16" s="39"/>
      <c r="M16" s="37"/>
    </row>
    <row r="17" spans="1:13" x14ac:dyDescent="0.2">
      <c r="A17">
        <v>14</v>
      </c>
      <c r="B17" s="30">
        <f t="shared" ca="1" si="0"/>
        <v>0.78831646777693931</v>
      </c>
      <c r="C17" t="b">
        <f t="shared" ca="1" si="1"/>
        <v>0</v>
      </c>
      <c r="D17">
        <f t="shared" ca="1" si="2"/>
        <v>29</v>
      </c>
      <c r="E17">
        <f t="shared" ca="1" si="3"/>
        <v>30</v>
      </c>
      <c r="F17" s="26">
        <f t="shared" ca="1" si="4"/>
        <v>4560.4765880264404</v>
      </c>
      <c r="G17" s="26">
        <f t="shared" ca="1" si="5"/>
        <v>4560.7444101010906</v>
      </c>
      <c r="H17" t="str">
        <f t="shared" ca="1" si="6"/>
        <v>Static</v>
      </c>
      <c r="I17" s="26">
        <f t="shared" ca="1" si="7"/>
        <v>-0.26782207465021202</v>
      </c>
      <c r="K17" s="31" t="s">
        <v>96</v>
      </c>
      <c r="L17" s="36"/>
      <c r="M17" s="37"/>
    </row>
    <row r="18" spans="1:13" x14ac:dyDescent="0.2">
      <c r="A18">
        <v>15</v>
      </c>
      <c r="B18" s="30">
        <f t="shared" ca="1" si="0"/>
        <v>0.97019431924748623</v>
      </c>
      <c r="C18" t="b">
        <f t="shared" ca="1" si="1"/>
        <v>0</v>
      </c>
      <c r="D18">
        <f t="shared" ca="1" si="2"/>
        <v>29</v>
      </c>
      <c r="E18">
        <f t="shared" ca="1" si="3"/>
        <v>30</v>
      </c>
      <c r="F18" s="26">
        <f t="shared" ca="1" si="4"/>
        <v>4558.5895247916005</v>
      </c>
      <c r="G18" s="26">
        <f t="shared" ca="1" si="5"/>
        <v>4560.1600566870438</v>
      </c>
      <c r="H18" t="str">
        <f t="shared" ca="1" si="6"/>
        <v>Static</v>
      </c>
      <c r="I18" s="26">
        <f t="shared" ca="1" si="7"/>
        <v>-1.5705318954433096</v>
      </c>
      <c r="K18" s="31" t="s">
        <v>97</v>
      </c>
      <c r="L18" s="41"/>
      <c r="M18" s="37"/>
    </row>
    <row r="19" spans="1:13" x14ac:dyDescent="0.2">
      <c r="A19">
        <v>16</v>
      </c>
      <c r="B19" s="30">
        <f t="shared" ca="1" si="0"/>
        <v>0.23040453693886009</v>
      </c>
      <c r="C19" t="b">
        <f t="shared" ca="1" si="1"/>
        <v>1</v>
      </c>
      <c r="D19">
        <f t="shared" ca="1" si="2"/>
        <v>30</v>
      </c>
      <c r="E19">
        <f t="shared" ca="1" si="3"/>
        <v>30</v>
      </c>
      <c r="F19" s="26">
        <f t="shared" ca="1" si="4"/>
        <v>4559.416840796096</v>
      </c>
      <c r="G19" s="26">
        <f t="shared" ca="1" si="5"/>
        <v>4543.3429206753426</v>
      </c>
      <c r="H19" t="str">
        <f t="shared" ca="1" si="6"/>
        <v>Reactive</v>
      </c>
      <c r="I19" s="26">
        <f t="shared" ca="1" si="7"/>
        <v>16.073920120753428</v>
      </c>
    </row>
    <row r="20" spans="1:13" ht="208" x14ac:dyDescent="0.2">
      <c r="A20">
        <v>17</v>
      </c>
      <c r="B20" s="30">
        <f t="shared" ca="1" si="0"/>
        <v>0.44944179034553711</v>
      </c>
      <c r="C20" t="b">
        <f t="shared" ca="1" si="1"/>
        <v>0</v>
      </c>
      <c r="D20">
        <f t="shared" ca="1" si="2"/>
        <v>28</v>
      </c>
      <c r="E20">
        <f t="shared" ca="1" si="3"/>
        <v>30</v>
      </c>
      <c r="F20" s="26">
        <f t="shared" ca="1" si="4"/>
        <v>4558.211217037403</v>
      </c>
      <c r="G20" s="26">
        <f t="shared" ca="1" si="5"/>
        <v>4561.8107391736039</v>
      </c>
      <c r="H20" t="str">
        <f t="shared" ca="1" si="6"/>
        <v>Static</v>
      </c>
      <c r="I20" s="26">
        <f t="shared" ca="1" si="7"/>
        <v>-3.5995221362009033</v>
      </c>
      <c r="K20" s="15" t="s">
        <v>98</v>
      </c>
    </row>
    <row r="21" spans="1:13" x14ac:dyDescent="0.2">
      <c r="A21">
        <v>18</v>
      </c>
      <c r="B21" s="30">
        <f t="shared" ca="1" si="0"/>
        <v>0.73717528701739998</v>
      </c>
      <c r="C21" t="b">
        <f t="shared" ca="1" si="1"/>
        <v>0</v>
      </c>
      <c r="D21">
        <f t="shared" ca="1" si="2"/>
        <v>27</v>
      </c>
      <c r="E21">
        <f t="shared" ca="1" si="3"/>
        <v>30</v>
      </c>
      <c r="F21" s="26">
        <f t="shared" ca="1" si="4"/>
        <v>4560.2764486315509</v>
      </c>
      <c r="G21" s="26">
        <f t="shared" ca="1" si="5"/>
        <v>4560.7913790273951</v>
      </c>
      <c r="H21" t="str">
        <f t="shared" ca="1" si="6"/>
        <v>Static</v>
      </c>
      <c r="I21" s="26">
        <f t="shared" ca="1" si="7"/>
        <v>-0.5149303958442033</v>
      </c>
    </row>
    <row r="22" spans="1:13" x14ac:dyDescent="0.2">
      <c r="A22">
        <v>19</v>
      </c>
      <c r="B22" s="30">
        <f t="shared" ca="1" si="0"/>
        <v>0.89882734317716972</v>
      </c>
      <c r="C22" t="b">
        <f t="shared" ca="1" si="1"/>
        <v>0</v>
      </c>
      <c r="D22">
        <f t="shared" ca="1" si="2"/>
        <v>26</v>
      </c>
      <c r="E22">
        <f t="shared" ca="1" si="3"/>
        <v>30</v>
      </c>
      <c r="F22" s="26">
        <f t="shared" ca="1" si="4"/>
        <v>4557.7570069194644</v>
      </c>
      <c r="G22" s="26">
        <f t="shared" ca="1" si="5"/>
        <v>4560.5697625633502</v>
      </c>
      <c r="H22" t="str">
        <f t="shared" ca="1" si="6"/>
        <v>Static</v>
      </c>
      <c r="I22" s="26">
        <f t="shared" ca="1" si="7"/>
        <v>-2.8127556438857937</v>
      </c>
    </row>
    <row r="23" spans="1:13" x14ac:dyDescent="0.2">
      <c r="A23">
        <v>20</v>
      </c>
      <c r="B23" s="30">
        <f t="shared" ca="1" si="0"/>
        <v>0.55017561048304253</v>
      </c>
      <c r="C23" t="b">
        <f t="shared" ca="1" si="1"/>
        <v>0</v>
      </c>
      <c r="D23">
        <f t="shared" ca="1" si="2"/>
        <v>29</v>
      </c>
      <c r="E23">
        <f t="shared" ca="1" si="3"/>
        <v>30</v>
      </c>
      <c r="F23" s="26">
        <f t="shared" ca="1" si="4"/>
        <v>4558.6771209262124</v>
      </c>
      <c r="G23" s="26">
        <f t="shared" ca="1" si="5"/>
        <v>4561.1513041140288</v>
      </c>
      <c r="H23" t="str">
        <f t="shared" ca="1" si="6"/>
        <v>Static</v>
      </c>
      <c r="I23" s="26">
        <f t="shared" ca="1" si="7"/>
        <v>-2.4741831878163794</v>
      </c>
    </row>
    <row r="24" spans="1:13" x14ac:dyDescent="0.2">
      <c r="A24">
        <v>21</v>
      </c>
      <c r="B24" s="30">
        <f t="shared" ca="1" si="0"/>
        <v>0.33437562989683256</v>
      </c>
      <c r="C24" t="b">
        <f t="shared" ca="1" si="1"/>
        <v>1</v>
      </c>
      <c r="D24">
        <f t="shared" ca="1" si="2"/>
        <v>28</v>
      </c>
      <c r="E24">
        <f t="shared" ca="1" si="3"/>
        <v>28</v>
      </c>
      <c r="F24" s="26">
        <f t="shared" ca="1" si="4"/>
        <v>4559.6263685340618</v>
      </c>
      <c r="G24" s="26">
        <f t="shared" ca="1" si="5"/>
        <v>4543.2941442182182</v>
      </c>
      <c r="H24" t="str">
        <f t="shared" ca="1" si="6"/>
        <v>Reactive</v>
      </c>
      <c r="I24" s="26">
        <f t="shared" ca="1" si="7"/>
        <v>16.332224315843632</v>
      </c>
    </row>
    <row r="25" spans="1:13" x14ac:dyDescent="0.2">
      <c r="A25">
        <v>22</v>
      </c>
      <c r="B25" s="30">
        <f t="shared" ca="1" si="0"/>
        <v>0.17259618644153596</v>
      </c>
      <c r="C25" t="b">
        <f t="shared" ca="1" si="1"/>
        <v>1</v>
      </c>
      <c r="D25">
        <f t="shared" ca="1" si="2"/>
        <v>27</v>
      </c>
      <c r="E25">
        <f t="shared" ca="1" si="3"/>
        <v>27</v>
      </c>
      <c r="F25" s="26">
        <f t="shared" ca="1" si="4"/>
        <v>4559.7481516381204</v>
      </c>
      <c r="G25" s="26">
        <f t="shared" ca="1" si="5"/>
        <v>4540.897705413955</v>
      </c>
      <c r="H25" t="str">
        <f t="shared" ca="1" si="6"/>
        <v>Reactive</v>
      </c>
      <c r="I25" s="26">
        <f t="shared" ca="1" si="7"/>
        <v>18.850446224165353</v>
      </c>
    </row>
    <row r="26" spans="1:13" x14ac:dyDescent="0.2">
      <c r="A26">
        <v>23</v>
      </c>
      <c r="B26" s="30">
        <f t="shared" ca="1" si="0"/>
        <v>0.25522893271687686</v>
      </c>
      <c r="C26" t="b">
        <f t="shared" ca="1" si="1"/>
        <v>1</v>
      </c>
      <c r="D26">
        <f t="shared" ca="1" si="2"/>
        <v>26</v>
      </c>
      <c r="E26">
        <f t="shared" ca="1" si="3"/>
        <v>26</v>
      </c>
      <c r="F26" s="26">
        <f t="shared" ca="1" si="4"/>
        <v>4559.6857508453504</v>
      </c>
      <c r="G26" s="26">
        <f t="shared" ca="1" si="5"/>
        <v>4543.8141424722844</v>
      </c>
      <c r="H26" t="str">
        <f t="shared" ca="1" si="6"/>
        <v>Reactive</v>
      </c>
      <c r="I26" s="26">
        <f t="shared" ca="1" si="7"/>
        <v>15.87160837306601</v>
      </c>
    </row>
    <row r="27" spans="1:13" x14ac:dyDescent="0.2">
      <c r="A27">
        <v>24</v>
      </c>
      <c r="B27" s="30">
        <f t="shared" ca="1" si="0"/>
        <v>0.89156095512649203</v>
      </c>
      <c r="C27" t="b">
        <f t="shared" ca="1" si="1"/>
        <v>0</v>
      </c>
      <c r="D27">
        <f t="shared" ca="1" si="2"/>
        <v>30</v>
      </c>
      <c r="E27">
        <f t="shared" ca="1" si="3"/>
        <v>30</v>
      </c>
      <c r="F27" s="26">
        <f t="shared" ca="1" si="4"/>
        <v>4556.6868790188128</v>
      </c>
      <c r="G27" s="26">
        <f t="shared" ca="1" si="5"/>
        <v>4561.4917910491813</v>
      </c>
      <c r="H27" t="str">
        <f t="shared" ca="1" si="6"/>
        <v>Static</v>
      </c>
      <c r="I27" s="26">
        <f t="shared" ca="1" si="7"/>
        <v>-4.8049120303685413</v>
      </c>
    </row>
    <row r="28" spans="1:13" x14ac:dyDescent="0.2">
      <c r="A28">
        <v>25</v>
      </c>
      <c r="B28" s="30">
        <f t="shared" ca="1" si="0"/>
        <v>0.68886375352113582</v>
      </c>
      <c r="C28" t="b">
        <f t="shared" ca="1" si="1"/>
        <v>0</v>
      </c>
      <c r="D28">
        <f t="shared" ca="1" si="2"/>
        <v>30</v>
      </c>
      <c r="E28">
        <f t="shared" ca="1" si="3"/>
        <v>30</v>
      </c>
      <c r="F28" s="26">
        <f t="shared" ca="1" si="4"/>
        <v>4559.6487810903773</v>
      </c>
      <c r="G28" s="26">
        <f t="shared" ca="1" si="5"/>
        <v>4560.4012116161111</v>
      </c>
      <c r="H28" t="str">
        <f t="shared" ca="1" si="6"/>
        <v>Static</v>
      </c>
      <c r="I28" s="26">
        <f t="shared" ca="1" si="7"/>
        <v>-0.75243052573387104</v>
      </c>
    </row>
    <row r="29" spans="1:13" x14ac:dyDescent="0.2">
      <c r="A29">
        <v>26</v>
      </c>
      <c r="B29" s="30">
        <f t="shared" ca="1" si="0"/>
        <v>0.83442709291373074</v>
      </c>
      <c r="C29" t="b">
        <f t="shared" ca="1" si="1"/>
        <v>0</v>
      </c>
      <c r="D29">
        <f t="shared" ca="1" si="2"/>
        <v>30</v>
      </c>
      <c r="E29">
        <f t="shared" ca="1" si="3"/>
        <v>30</v>
      </c>
      <c r="F29" s="26">
        <f t="shared" ca="1" si="4"/>
        <v>4560.0904043321325</v>
      </c>
      <c r="G29" s="26">
        <f t="shared" ca="1" si="5"/>
        <v>4559.6046264760826</v>
      </c>
      <c r="H29" t="str">
        <f t="shared" ca="1" si="6"/>
        <v>Reactive</v>
      </c>
      <c r="I29" s="26">
        <f t="shared" ca="1" si="7"/>
        <v>0.48577785604993551</v>
      </c>
    </row>
    <row r="30" spans="1:13" x14ac:dyDescent="0.2">
      <c r="A30">
        <v>27</v>
      </c>
      <c r="B30" s="30">
        <f t="shared" ca="1" si="0"/>
        <v>0.87845110670963389</v>
      </c>
      <c r="C30" t="b">
        <f t="shared" ca="1" si="1"/>
        <v>0</v>
      </c>
      <c r="D30">
        <f t="shared" ca="1" si="2"/>
        <v>29</v>
      </c>
      <c r="E30">
        <f t="shared" ca="1" si="3"/>
        <v>30</v>
      </c>
      <c r="F30" s="26">
        <f t="shared" ca="1" si="4"/>
        <v>4558.9912261743666</v>
      </c>
      <c r="G30" s="26">
        <f t="shared" ca="1" si="5"/>
        <v>4558.3064192913562</v>
      </c>
      <c r="H30" t="str">
        <f t="shared" ca="1" si="6"/>
        <v>Reactive</v>
      </c>
      <c r="I30" s="26">
        <f t="shared" ca="1" si="7"/>
        <v>0.68480688301042392</v>
      </c>
    </row>
    <row r="31" spans="1:13" x14ac:dyDescent="0.2">
      <c r="A31">
        <v>28</v>
      </c>
      <c r="B31" s="30">
        <f t="shared" ca="1" si="0"/>
        <v>0.12773159319485117</v>
      </c>
      <c r="C31" t="b">
        <f t="shared" ca="1" si="1"/>
        <v>1</v>
      </c>
      <c r="D31">
        <f t="shared" ca="1" si="2"/>
        <v>29</v>
      </c>
      <c r="E31">
        <f t="shared" ca="1" si="3"/>
        <v>29</v>
      </c>
      <c r="F31" s="26">
        <f t="shared" ca="1" si="4"/>
        <v>4559.0792385958248</v>
      </c>
      <c r="G31" s="26">
        <f t="shared" ca="1" si="5"/>
        <v>4543.7421783657046</v>
      </c>
      <c r="H31" t="str">
        <f t="shared" ca="1" si="6"/>
        <v>Reactive</v>
      </c>
      <c r="I31" s="26">
        <f t="shared" ca="1" si="7"/>
        <v>15.337060230120187</v>
      </c>
    </row>
    <row r="32" spans="1:13" x14ac:dyDescent="0.2">
      <c r="A32">
        <v>29</v>
      </c>
      <c r="B32" s="30">
        <f t="shared" ca="1" si="0"/>
        <v>0.26973276655908118</v>
      </c>
      <c r="C32" t="b">
        <f t="shared" ca="1" si="1"/>
        <v>1</v>
      </c>
      <c r="D32">
        <f t="shared" ca="1" si="2"/>
        <v>26</v>
      </c>
      <c r="E32">
        <f t="shared" ca="1" si="3"/>
        <v>26</v>
      </c>
      <c r="F32" s="26">
        <f t="shared" ca="1" si="4"/>
        <v>4558.2811275299464</v>
      </c>
      <c r="G32" s="26">
        <f t="shared" ca="1" si="5"/>
        <v>4542.8585928656657</v>
      </c>
      <c r="H32" t="str">
        <f t="shared" ca="1" si="6"/>
        <v>Reactive</v>
      </c>
      <c r="I32" s="26">
        <f t="shared" ca="1" si="7"/>
        <v>15.422534664280647</v>
      </c>
    </row>
    <row r="33" spans="1:9" x14ac:dyDescent="0.2">
      <c r="A33">
        <v>30</v>
      </c>
      <c r="B33" s="30">
        <f t="shared" ca="1" si="0"/>
        <v>0.71590143797115791</v>
      </c>
      <c r="C33" t="b">
        <f t="shared" ca="1" si="1"/>
        <v>0</v>
      </c>
      <c r="D33">
        <f t="shared" ca="1" si="2"/>
        <v>26</v>
      </c>
      <c r="E33">
        <f t="shared" ca="1" si="3"/>
        <v>30</v>
      </c>
      <c r="F33" s="26">
        <f t="shared" ca="1" si="4"/>
        <v>4559.7031993751507</v>
      </c>
      <c r="G33" s="26">
        <f t="shared" ca="1" si="5"/>
        <v>4559.2550927972297</v>
      </c>
      <c r="H33" t="str">
        <f t="shared" ca="1" si="6"/>
        <v>Reactive</v>
      </c>
      <c r="I33" s="26">
        <f t="shared" ca="1" si="7"/>
        <v>0.44810657792095299</v>
      </c>
    </row>
    <row r="34" spans="1:9" x14ac:dyDescent="0.2">
      <c r="A34">
        <v>31</v>
      </c>
      <c r="B34" s="30">
        <f t="shared" ca="1" si="0"/>
        <v>0.14120603807707133</v>
      </c>
      <c r="C34" t="b">
        <f t="shared" ca="1" si="1"/>
        <v>1</v>
      </c>
      <c r="D34">
        <f t="shared" ca="1" si="2"/>
        <v>26</v>
      </c>
      <c r="E34">
        <f t="shared" ca="1" si="3"/>
        <v>26</v>
      </c>
      <c r="F34" s="26">
        <f t="shared" ca="1" si="4"/>
        <v>4558.601957093254</v>
      </c>
      <c r="G34" s="26">
        <f t="shared" ca="1" si="5"/>
        <v>4541.631126254214</v>
      </c>
      <c r="H34" t="str">
        <f t="shared" ca="1" si="6"/>
        <v>Reactive</v>
      </c>
      <c r="I34" s="26">
        <f t="shared" ca="1" si="7"/>
        <v>16.970830839039991</v>
      </c>
    </row>
    <row r="35" spans="1:9" x14ac:dyDescent="0.2">
      <c r="A35">
        <v>32</v>
      </c>
      <c r="B35" s="30">
        <f t="shared" ca="1" si="0"/>
        <v>0.28636941987832509</v>
      </c>
      <c r="C35" t="b">
        <f t="shared" ca="1" si="1"/>
        <v>1</v>
      </c>
      <c r="D35">
        <f t="shared" ca="1" si="2"/>
        <v>29</v>
      </c>
      <c r="E35">
        <f t="shared" ca="1" si="3"/>
        <v>29</v>
      </c>
      <c r="F35" s="26">
        <f t="shared" ca="1" si="4"/>
        <v>4558.9746281463449</v>
      </c>
      <c r="G35" s="26">
        <f t="shared" ca="1" si="5"/>
        <v>4544.0819875438065</v>
      </c>
      <c r="H35" t="str">
        <f t="shared" ca="1" si="6"/>
        <v>Reactive</v>
      </c>
      <c r="I35" s="26">
        <f t="shared" ca="1" si="7"/>
        <v>14.892640602538449</v>
      </c>
    </row>
    <row r="36" spans="1:9" x14ac:dyDescent="0.2">
      <c r="A36">
        <v>33</v>
      </c>
      <c r="B36" s="30">
        <f t="shared" ca="1" si="0"/>
        <v>0.43969621925558178</v>
      </c>
      <c r="C36" t="b">
        <f t="shared" ca="1" si="1"/>
        <v>0</v>
      </c>
      <c r="D36">
        <f t="shared" ca="1" si="2"/>
        <v>30</v>
      </c>
      <c r="E36">
        <f t="shared" ca="1" si="3"/>
        <v>30</v>
      </c>
      <c r="F36" s="26">
        <f t="shared" ca="1" si="4"/>
        <v>4558.3151880117002</v>
      </c>
      <c r="G36" s="26">
        <f t="shared" ca="1" si="5"/>
        <v>4561.6742706059476</v>
      </c>
      <c r="H36" t="str">
        <f t="shared" ca="1" si="6"/>
        <v>Static</v>
      </c>
      <c r="I36" s="26">
        <f t="shared" ca="1" si="7"/>
        <v>-3.3590825942474112</v>
      </c>
    </row>
    <row r="37" spans="1:9" x14ac:dyDescent="0.2">
      <c r="A37">
        <v>34</v>
      </c>
      <c r="B37" s="30">
        <f t="shared" ca="1" si="0"/>
        <v>6.8836673277013594E-2</v>
      </c>
      <c r="C37" t="b">
        <f t="shared" ca="1" si="1"/>
        <v>1</v>
      </c>
      <c r="D37">
        <f t="shared" ca="1" si="2"/>
        <v>30</v>
      </c>
      <c r="E37">
        <f t="shared" ca="1" si="3"/>
        <v>30</v>
      </c>
      <c r="F37" s="26">
        <f t="shared" ca="1" si="4"/>
        <v>4558.4227405973616</v>
      </c>
      <c r="G37" s="26">
        <f t="shared" ca="1" si="5"/>
        <v>4543.013223938653</v>
      </c>
      <c r="H37" t="str">
        <f t="shared" ca="1" si="6"/>
        <v>Reactive</v>
      </c>
      <c r="I37" s="26">
        <f t="shared" ca="1" si="7"/>
        <v>15.409516658708526</v>
      </c>
    </row>
    <row r="38" spans="1:9" x14ac:dyDescent="0.2">
      <c r="A38">
        <v>35</v>
      </c>
      <c r="B38" s="30">
        <f t="shared" ca="1" si="0"/>
        <v>0.22043906800621649</v>
      </c>
      <c r="C38" t="b">
        <f t="shared" ca="1" si="1"/>
        <v>1</v>
      </c>
      <c r="D38">
        <f t="shared" ca="1" si="2"/>
        <v>28</v>
      </c>
      <c r="E38">
        <f t="shared" ca="1" si="3"/>
        <v>28</v>
      </c>
      <c r="F38" s="26">
        <f t="shared" ca="1" si="4"/>
        <v>4559.671135700105</v>
      </c>
      <c r="G38" s="26">
        <f t="shared" ca="1" si="5"/>
        <v>4543.1147347389433</v>
      </c>
      <c r="H38" t="str">
        <f t="shared" ca="1" si="6"/>
        <v>Reactive</v>
      </c>
      <c r="I38" s="26">
        <f t="shared" ca="1" si="7"/>
        <v>16.556400961161671</v>
      </c>
    </row>
    <row r="39" spans="1:9" x14ac:dyDescent="0.2">
      <c r="A39">
        <v>36</v>
      </c>
      <c r="B39" s="30">
        <f t="shared" ca="1" si="0"/>
        <v>3.0855624609149812E-2</v>
      </c>
      <c r="C39" t="b">
        <f t="shared" ca="1" si="1"/>
        <v>1</v>
      </c>
      <c r="D39">
        <f t="shared" ca="1" si="2"/>
        <v>26</v>
      </c>
      <c r="E39">
        <f t="shared" ca="1" si="3"/>
        <v>26</v>
      </c>
      <c r="F39" s="26">
        <f t="shared" ca="1" si="4"/>
        <v>4559.2246753433383</v>
      </c>
      <c r="G39" s="26">
        <f t="shared" ca="1" si="5"/>
        <v>4542.7316683640802</v>
      </c>
      <c r="H39" t="str">
        <f t="shared" ca="1" si="6"/>
        <v>Reactive</v>
      </c>
      <c r="I39" s="26">
        <f t="shared" ca="1" si="7"/>
        <v>16.493006979258098</v>
      </c>
    </row>
    <row r="40" spans="1:9" x14ac:dyDescent="0.2">
      <c r="A40">
        <v>37</v>
      </c>
      <c r="B40" s="30">
        <f t="shared" ca="1" si="0"/>
        <v>0.11125707518934158</v>
      </c>
      <c r="C40" t="b">
        <f t="shared" ca="1" si="1"/>
        <v>1</v>
      </c>
      <c r="D40">
        <f t="shared" ca="1" si="2"/>
        <v>27</v>
      </c>
      <c r="E40">
        <f t="shared" ca="1" si="3"/>
        <v>27</v>
      </c>
      <c r="F40" s="26">
        <f t="shared" ca="1" si="4"/>
        <v>4558.9383587414322</v>
      </c>
      <c r="G40" s="26">
        <f t="shared" ca="1" si="5"/>
        <v>4541.5730683711818</v>
      </c>
      <c r="H40" t="str">
        <f t="shared" ca="1" si="6"/>
        <v>Reactive</v>
      </c>
      <c r="I40" s="26">
        <f t="shared" ca="1" si="7"/>
        <v>17.365290370250477</v>
      </c>
    </row>
    <row r="41" spans="1:9" x14ac:dyDescent="0.2">
      <c r="A41">
        <v>38</v>
      </c>
      <c r="B41" s="30">
        <f t="shared" ca="1" si="0"/>
        <v>0.34252613698193579</v>
      </c>
      <c r="C41" t="b">
        <f t="shared" ca="1" si="1"/>
        <v>1</v>
      </c>
      <c r="D41">
        <f t="shared" ca="1" si="2"/>
        <v>28</v>
      </c>
      <c r="E41">
        <f t="shared" ca="1" si="3"/>
        <v>28</v>
      </c>
      <c r="F41" s="26">
        <f t="shared" ca="1" si="4"/>
        <v>4558.1430725843766</v>
      </c>
      <c r="G41" s="26">
        <f t="shared" ca="1" si="5"/>
        <v>4541.6467558788481</v>
      </c>
      <c r="H41" t="str">
        <f t="shared" ca="1" si="6"/>
        <v>Reactive</v>
      </c>
      <c r="I41" s="26">
        <f t="shared" ca="1" si="7"/>
        <v>16.496316705528443</v>
      </c>
    </row>
    <row r="42" spans="1:9" x14ac:dyDescent="0.2">
      <c r="A42">
        <v>39</v>
      </c>
      <c r="B42" s="30">
        <f t="shared" ca="1" si="0"/>
        <v>0.35619650427342642</v>
      </c>
      <c r="C42" t="b">
        <f t="shared" ca="1" si="1"/>
        <v>0</v>
      </c>
      <c r="D42">
        <f t="shared" ca="1" si="2"/>
        <v>29</v>
      </c>
      <c r="E42">
        <f t="shared" ca="1" si="3"/>
        <v>30</v>
      </c>
      <c r="F42" s="26">
        <f t="shared" ca="1" si="4"/>
        <v>4557.6702039924858</v>
      </c>
      <c r="G42" s="26">
        <f t="shared" ca="1" si="5"/>
        <v>4560.6228439930783</v>
      </c>
      <c r="H42" t="str">
        <f t="shared" ca="1" si="6"/>
        <v>Static</v>
      </c>
      <c r="I42" s="26">
        <f t="shared" ca="1" si="7"/>
        <v>-2.9526400005925098</v>
      </c>
    </row>
    <row r="43" spans="1:9" x14ac:dyDescent="0.2">
      <c r="A43">
        <v>40</v>
      </c>
      <c r="B43" s="30">
        <f t="shared" ca="1" si="0"/>
        <v>0.79182564140792544</v>
      </c>
      <c r="C43" t="b">
        <f t="shared" ca="1" si="1"/>
        <v>0</v>
      </c>
      <c r="D43">
        <f t="shared" ca="1" si="2"/>
        <v>29</v>
      </c>
      <c r="E43">
        <f t="shared" ca="1" si="3"/>
        <v>30</v>
      </c>
      <c r="F43" s="26">
        <f t="shared" ca="1" si="4"/>
        <v>4557.2882124478538</v>
      </c>
      <c r="G43" s="26">
        <f t="shared" ca="1" si="5"/>
        <v>4560.6912320712372</v>
      </c>
      <c r="H43" t="str">
        <f t="shared" ca="1" si="6"/>
        <v>Static</v>
      </c>
      <c r="I43" s="26">
        <f t="shared" ca="1" si="7"/>
        <v>-3.4030196233834431</v>
      </c>
    </row>
    <row r="44" spans="1:9" x14ac:dyDescent="0.2">
      <c r="A44">
        <v>41</v>
      </c>
      <c r="B44" s="30">
        <f t="shared" ca="1" si="0"/>
        <v>0.66405853205879384</v>
      </c>
      <c r="C44" t="b">
        <f t="shared" ca="1" si="1"/>
        <v>0</v>
      </c>
      <c r="D44">
        <f t="shared" ca="1" si="2"/>
        <v>30</v>
      </c>
      <c r="E44">
        <f t="shared" ca="1" si="3"/>
        <v>30</v>
      </c>
      <c r="F44" s="26">
        <f t="shared" ca="1" si="4"/>
        <v>4556.8765147842678</v>
      </c>
      <c r="G44" s="26">
        <f t="shared" ca="1" si="5"/>
        <v>4560.6583489197055</v>
      </c>
      <c r="H44" t="str">
        <f t="shared" ca="1" si="6"/>
        <v>Static</v>
      </c>
      <c r="I44" s="26">
        <f t="shared" ca="1" si="7"/>
        <v>-3.781834135437748</v>
      </c>
    </row>
    <row r="45" spans="1:9" x14ac:dyDescent="0.2">
      <c r="A45">
        <v>42</v>
      </c>
      <c r="B45" s="30">
        <f t="shared" ca="1" si="0"/>
        <v>0.47808314227920257</v>
      </c>
      <c r="C45" t="b">
        <f t="shared" ca="1" si="1"/>
        <v>0</v>
      </c>
      <c r="D45">
        <f t="shared" ca="1" si="2"/>
        <v>27</v>
      </c>
      <c r="E45">
        <f t="shared" ca="1" si="3"/>
        <v>30</v>
      </c>
      <c r="F45" s="26">
        <f t="shared" ca="1" si="4"/>
        <v>4556.4535512874127</v>
      </c>
      <c r="G45" s="26">
        <f t="shared" ca="1" si="5"/>
        <v>4559.4847383132474</v>
      </c>
      <c r="H45" t="str">
        <f t="shared" ca="1" si="6"/>
        <v>Static</v>
      </c>
      <c r="I45" s="26">
        <f t="shared" ca="1" si="7"/>
        <v>-3.0311870258346971</v>
      </c>
    </row>
    <row r="46" spans="1:9" x14ac:dyDescent="0.2">
      <c r="A46">
        <v>43</v>
      </c>
      <c r="B46" s="30">
        <f t="shared" ca="1" si="0"/>
        <v>0.91726796713141079</v>
      </c>
      <c r="C46" t="b">
        <f t="shared" ca="1" si="1"/>
        <v>0</v>
      </c>
      <c r="D46">
        <f t="shared" ca="1" si="2"/>
        <v>28</v>
      </c>
      <c r="E46">
        <f t="shared" ca="1" si="3"/>
        <v>30</v>
      </c>
      <c r="F46" s="26">
        <f t="shared" ca="1" si="4"/>
        <v>4558.6713943094455</v>
      </c>
      <c r="G46" s="26">
        <f t="shared" ca="1" si="5"/>
        <v>4560.6033410261507</v>
      </c>
      <c r="H46" t="str">
        <f t="shared" ca="1" si="6"/>
        <v>Static</v>
      </c>
      <c r="I46" s="26">
        <f t="shared" ca="1" si="7"/>
        <v>-1.9319467167051698</v>
      </c>
    </row>
    <row r="47" spans="1:9" x14ac:dyDescent="0.2">
      <c r="A47">
        <v>44</v>
      </c>
      <c r="B47" s="30">
        <f t="shared" ca="1" si="0"/>
        <v>0.35273324252057714</v>
      </c>
      <c r="C47" t="b">
        <f t="shared" ca="1" si="1"/>
        <v>0</v>
      </c>
      <c r="D47">
        <f t="shared" ca="1" si="2"/>
        <v>27</v>
      </c>
      <c r="E47">
        <f t="shared" ca="1" si="3"/>
        <v>30</v>
      </c>
      <c r="F47" s="26">
        <f t="shared" ca="1" si="4"/>
        <v>4558.8961752882306</v>
      </c>
      <c r="G47" s="26">
        <f t="shared" ca="1" si="5"/>
        <v>4561.6411625927203</v>
      </c>
      <c r="H47" t="str">
        <f t="shared" ca="1" si="6"/>
        <v>Static</v>
      </c>
      <c r="I47" s="26">
        <f t="shared" ca="1" si="7"/>
        <v>-2.7449873044897686</v>
      </c>
    </row>
    <row r="48" spans="1:9" x14ac:dyDescent="0.2">
      <c r="A48">
        <v>45</v>
      </c>
      <c r="B48" s="30">
        <f t="shared" ca="1" si="0"/>
        <v>0.24863859192956039</v>
      </c>
      <c r="C48" t="b">
        <f t="shared" ca="1" si="1"/>
        <v>1</v>
      </c>
      <c r="D48">
        <f t="shared" ca="1" si="2"/>
        <v>28</v>
      </c>
      <c r="E48">
        <f t="shared" ca="1" si="3"/>
        <v>28</v>
      </c>
      <c r="F48" s="26">
        <f t="shared" ca="1" si="4"/>
        <v>4558.5828808597907</v>
      </c>
      <c r="G48" s="26">
        <f t="shared" ca="1" si="5"/>
        <v>4542.8804467498248</v>
      </c>
      <c r="H48" t="str">
        <f t="shared" ca="1" si="6"/>
        <v>Reactive</v>
      </c>
      <c r="I48" s="26">
        <f t="shared" ca="1" si="7"/>
        <v>15.702434109965907</v>
      </c>
    </row>
    <row r="49" spans="1:9" x14ac:dyDescent="0.2">
      <c r="A49">
        <v>46</v>
      </c>
      <c r="B49" s="30">
        <f t="shared" ca="1" si="0"/>
        <v>0.50299958173572212</v>
      </c>
      <c r="C49" t="b">
        <f t="shared" ca="1" si="1"/>
        <v>0</v>
      </c>
      <c r="D49">
        <f t="shared" ca="1" si="2"/>
        <v>27</v>
      </c>
      <c r="E49">
        <f t="shared" ca="1" si="3"/>
        <v>30</v>
      </c>
      <c r="F49" s="26">
        <f t="shared" ca="1" si="4"/>
        <v>4559.4270116599864</v>
      </c>
      <c r="G49" s="26">
        <f t="shared" ca="1" si="5"/>
        <v>4560.9463904923114</v>
      </c>
      <c r="H49" t="str">
        <f t="shared" ca="1" si="6"/>
        <v>Static</v>
      </c>
      <c r="I49" s="26">
        <f t="shared" ca="1" si="7"/>
        <v>-1.5193788323249464</v>
      </c>
    </row>
    <row r="50" spans="1:9" x14ac:dyDescent="0.2">
      <c r="A50">
        <v>47</v>
      </c>
      <c r="B50" s="30">
        <f t="shared" ca="1" si="0"/>
        <v>0.93133569370251812</v>
      </c>
      <c r="C50" t="b">
        <f t="shared" ca="1" si="1"/>
        <v>0</v>
      </c>
      <c r="D50">
        <f t="shared" ca="1" si="2"/>
        <v>30</v>
      </c>
      <c r="E50">
        <f t="shared" ca="1" si="3"/>
        <v>30</v>
      </c>
      <c r="F50" s="26">
        <f t="shared" ca="1" si="4"/>
        <v>4560.2756017237889</v>
      </c>
      <c r="G50" s="26">
        <f t="shared" ca="1" si="5"/>
        <v>4561.1226710817682</v>
      </c>
      <c r="H50" t="str">
        <f t="shared" ca="1" si="6"/>
        <v>Static</v>
      </c>
      <c r="I50" s="26">
        <f t="shared" ca="1" si="7"/>
        <v>-0.84706935797930782</v>
      </c>
    </row>
    <row r="51" spans="1:9" x14ac:dyDescent="0.2">
      <c r="A51">
        <v>48</v>
      </c>
      <c r="B51" s="30">
        <f t="shared" ca="1" si="0"/>
        <v>0.96419166169368475</v>
      </c>
      <c r="C51" t="b">
        <f t="shared" ca="1" si="1"/>
        <v>0</v>
      </c>
      <c r="D51">
        <f t="shared" ca="1" si="2"/>
        <v>27</v>
      </c>
      <c r="E51">
        <f t="shared" ca="1" si="3"/>
        <v>30</v>
      </c>
      <c r="F51" s="26">
        <f t="shared" ca="1" si="4"/>
        <v>4559.7216981689808</v>
      </c>
      <c r="G51" s="26">
        <f t="shared" ca="1" si="5"/>
        <v>4560.5537500529035</v>
      </c>
      <c r="H51" t="str">
        <f t="shared" ca="1" si="6"/>
        <v>Static</v>
      </c>
      <c r="I51" s="26">
        <f t="shared" ca="1" si="7"/>
        <v>-0.83205188392275886</v>
      </c>
    </row>
    <row r="52" spans="1:9" x14ac:dyDescent="0.2">
      <c r="A52">
        <v>49</v>
      </c>
      <c r="B52" s="30">
        <f t="shared" ca="1" si="0"/>
        <v>0.92854664296306277</v>
      </c>
      <c r="C52" t="b">
        <f t="shared" ca="1" si="1"/>
        <v>0</v>
      </c>
      <c r="D52">
        <f t="shared" ca="1" si="2"/>
        <v>27</v>
      </c>
      <c r="E52">
        <f t="shared" ca="1" si="3"/>
        <v>30</v>
      </c>
      <c r="F52" s="26">
        <f t="shared" ca="1" si="4"/>
        <v>4560.2305659825497</v>
      </c>
      <c r="G52" s="26">
        <f t="shared" ca="1" si="5"/>
        <v>4559.9821390067991</v>
      </c>
      <c r="H52" t="str">
        <f t="shared" ca="1" si="6"/>
        <v>Reactive</v>
      </c>
      <c r="I52" s="26">
        <f t="shared" ca="1" si="7"/>
        <v>0.24842697575058992</v>
      </c>
    </row>
    <row r="53" spans="1:9" x14ac:dyDescent="0.2">
      <c r="A53">
        <v>50</v>
      </c>
      <c r="B53" s="30">
        <f t="shared" ca="1" si="0"/>
        <v>0.11249444808650211</v>
      </c>
      <c r="C53" t="b">
        <f t="shared" ca="1" si="1"/>
        <v>1</v>
      </c>
      <c r="D53">
        <f t="shared" ca="1" si="2"/>
        <v>26</v>
      </c>
      <c r="E53">
        <f t="shared" ca="1" si="3"/>
        <v>26</v>
      </c>
      <c r="F53" s="26">
        <f t="shared" ca="1" si="4"/>
        <v>4558.7443144645413</v>
      </c>
      <c r="G53" s="26">
        <f t="shared" ca="1" si="5"/>
        <v>4542.3999610596511</v>
      </c>
      <c r="H53" t="str">
        <f t="shared" ca="1" si="6"/>
        <v>Reactive</v>
      </c>
      <c r="I53" s="26">
        <f t="shared" ca="1" si="7"/>
        <v>16.344353404890171</v>
      </c>
    </row>
    <row r="54" spans="1:9" x14ac:dyDescent="0.2">
      <c r="A54">
        <v>51</v>
      </c>
      <c r="B54" s="30">
        <f t="shared" ca="1" si="0"/>
        <v>0.76069053987911073</v>
      </c>
      <c r="C54" t="b">
        <f t="shared" ca="1" si="1"/>
        <v>0</v>
      </c>
      <c r="D54">
        <f t="shared" ca="1" si="2"/>
        <v>29</v>
      </c>
      <c r="E54">
        <f t="shared" ca="1" si="3"/>
        <v>30</v>
      </c>
      <c r="F54" s="26">
        <f t="shared" ca="1" si="4"/>
        <v>4557.6827546813965</v>
      </c>
      <c r="G54" s="26">
        <f t="shared" ca="1" si="5"/>
        <v>4560.2223739704159</v>
      </c>
      <c r="H54" t="str">
        <f t="shared" ca="1" si="6"/>
        <v>Static</v>
      </c>
      <c r="I54" s="26">
        <f t="shared" ca="1" si="7"/>
        <v>-2.5396192890193561</v>
      </c>
    </row>
    <row r="55" spans="1:9" x14ac:dyDescent="0.2">
      <c r="A55">
        <v>52</v>
      </c>
      <c r="B55" s="30">
        <f t="shared" ca="1" si="0"/>
        <v>0.71141415726778923</v>
      </c>
      <c r="C55" t="b">
        <f t="shared" ca="1" si="1"/>
        <v>0</v>
      </c>
      <c r="D55">
        <f t="shared" ca="1" si="2"/>
        <v>26</v>
      </c>
      <c r="E55">
        <f t="shared" ca="1" si="3"/>
        <v>30</v>
      </c>
      <c r="F55" s="26">
        <f t="shared" ca="1" si="4"/>
        <v>4557.5757187215158</v>
      </c>
      <c r="G55" s="26">
        <f t="shared" ca="1" si="5"/>
        <v>4561.0026939131121</v>
      </c>
      <c r="H55" t="str">
        <f t="shared" ca="1" si="6"/>
        <v>Static</v>
      </c>
      <c r="I55" s="26">
        <f t="shared" ca="1" si="7"/>
        <v>-3.4269751915962843</v>
      </c>
    </row>
    <row r="56" spans="1:9" x14ac:dyDescent="0.2">
      <c r="A56">
        <v>53</v>
      </c>
      <c r="B56" s="30">
        <f t="shared" ca="1" si="0"/>
        <v>0.12565215565578225</v>
      </c>
      <c r="C56" t="b">
        <f t="shared" ca="1" si="1"/>
        <v>1</v>
      </c>
      <c r="D56">
        <f t="shared" ca="1" si="2"/>
        <v>28</v>
      </c>
      <c r="E56">
        <f t="shared" ca="1" si="3"/>
        <v>28</v>
      </c>
      <c r="F56" s="26">
        <f t="shared" ca="1" si="4"/>
        <v>4558.3961428124921</v>
      </c>
      <c r="G56" s="26">
        <f t="shared" ca="1" si="5"/>
        <v>4542.0930232338906</v>
      </c>
      <c r="H56" t="str">
        <f t="shared" ca="1" si="6"/>
        <v>Reactive</v>
      </c>
      <c r="I56" s="26">
        <f t="shared" ca="1" si="7"/>
        <v>16.303119578601581</v>
      </c>
    </row>
    <row r="57" spans="1:9" x14ac:dyDescent="0.2">
      <c r="A57">
        <v>54</v>
      </c>
      <c r="B57" s="30">
        <f t="shared" ca="1" si="0"/>
        <v>0.34266249712499408</v>
      </c>
      <c r="C57" t="b">
        <f t="shared" ca="1" si="1"/>
        <v>1</v>
      </c>
      <c r="D57">
        <f t="shared" ca="1" si="2"/>
        <v>29</v>
      </c>
      <c r="E57">
        <f t="shared" ca="1" si="3"/>
        <v>29</v>
      </c>
      <c r="F57" s="26">
        <f t="shared" ca="1" si="4"/>
        <v>4560.9920516151042</v>
      </c>
      <c r="G57" s="26">
        <f t="shared" ca="1" si="5"/>
        <v>4540.9846029802984</v>
      </c>
      <c r="H57" t="str">
        <f t="shared" ca="1" si="6"/>
        <v>Reactive</v>
      </c>
      <c r="I57" s="26">
        <f t="shared" ca="1" si="7"/>
        <v>20.007448634805769</v>
      </c>
    </row>
    <row r="58" spans="1:9" x14ac:dyDescent="0.2">
      <c r="A58">
        <v>55</v>
      </c>
      <c r="B58" s="30">
        <f t="shared" ca="1" si="0"/>
        <v>0.63356482267320879</v>
      </c>
      <c r="C58" t="b">
        <f t="shared" ca="1" si="1"/>
        <v>0</v>
      </c>
      <c r="D58">
        <f t="shared" ca="1" si="2"/>
        <v>29</v>
      </c>
      <c r="E58">
        <f t="shared" ca="1" si="3"/>
        <v>30</v>
      </c>
      <c r="F58" s="26">
        <f t="shared" ca="1" si="4"/>
        <v>4559.9607243411074</v>
      </c>
      <c r="G58" s="26">
        <f t="shared" ca="1" si="5"/>
        <v>4559.9196560082037</v>
      </c>
      <c r="H58" t="str">
        <f t="shared" ca="1" si="6"/>
        <v>Reactive</v>
      </c>
      <c r="I58" s="26">
        <f t="shared" ca="1" si="7"/>
        <v>4.1068332903705596E-2</v>
      </c>
    </row>
    <row r="59" spans="1:9" x14ac:dyDescent="0.2">
      <c r="A59">
        <v>56</v>
      </c>
      <c r="B59" s="30">
        <f t="shared" ca="1" si="0"/>
        <v>0.36906056136422283</v>
      </c>
      <c r="C59" t="b">
        <f t="shared" ca="1" si="1"/>
        <v>0</v>
      </c>
      <c r="D59">
        <f t="shared" ca="1" si="2"/>
        <v>28</v>
      </c>
      <c r="E59">
        <f t="shared" ca="1" si="3"/>
        <v>30</v>
      </c>
      <c r="F59" s="26">
        <f t="shared" ca="1" si="4"/>
        <v>4559.2686759140297</v>
      </c>
      <c r="G59" s="26">
        <f t="shared" ca="1" si="5"/>
        <v>4559.4110766001986</v>
      </c>
      <c r="H59" t="str">
        <f t="shared" ca="1" si="6"/>
        <v>Static</v>
      </c>
      <c r="I59" s="26">
        <f t="shared" ca="1" si="7"/>
        <v>-0.14240068616891222</v>
      </c>
    </row>
    <row r="60" spans="1:9" x14ac:dyDescent="0.2">
      <c r="A60">
        <v>57</v>
      </c>
      <c r="B60" s="30">
        <f t="shared" ca="1" si="0"/>
        <v>0.53222959398981995</v>
      </c>
      <c r="C60" t="b">
        <f t="shared" ca="1" si="1"/>
        <v>0</v>
      </c>
      <c r="D60">
        <f t="shared" ca="1" si="2"/>
        <v>26</v>
      </c>
      <c r="E60">
        <f t="shared" ca="1" si="3"/>
        <v>30</v>
      </c>
      <c r="F60" s="26">
        <f t="shared" ca="1" si="4"/>
        <v>4558.1732834001778</v>
      </c>
      <c r="G60" s="26">
        <f t="shared" ca="1" si="5"/>
        <v>4560.213249587141</v>
      </c>
      <c r="H60" t="str">
        <f t="shared" ca="1" si="6"/>
        <v>Static</v>
      </c>
      <c r="I60" s="26">
        <f t="shared" ca="1" si="7"/>
        <v>-2.0399661869632837</v>
      </c>
    </row>
    <row r="61" spans="1:9" x14ac:dyDescent="0.2">
      <c r="A61">
        <v>58</v>
      </c>
      <c r="B61" s="30">
        <f t="shared" ca="1" si="0"/>
        <v>0.85901808209322483</v>
      </c>
      <c r="C61" t="b">
        <f t="shared" ca="1" si="1"/>
        <v>0</v>
      </c>
      <c r="D61">
        <f t="shared" ca="1" si="2"/>
        <v>29</v>
      </c>
      <c r="E61">
        <f t="shared" ca="1" si="3"/>
        <v>30</v>
      </c>
      <c r="F61" s="26">
        <f t="shared" ca="1" si="4"/>
        <v>4560.8782673783189</v>
      </c>
      <c r="G61" s="26">
        <f t="shared" ca="1" si="5"/>
        <v>4559.971789880894</v>
      </c>
      <c r="H61" t="str">
        <f t="shared" ca="1" si="6"/>
        <v>Reactive</v>
      </c>
      <c r="I61" s="26">
        <f t="shared" ca="1" si="7"/>
        <v>0.90647749742493033</v>
      </c>
    </row>
    <row r="62" spans="1:9" x14ac:dyDescent="0.2">
      <c r="A62">
        <v>59</v>
      </c>
      <c r="B62" s="30">
        <f t="shared" ca="1" si="0"/>
        <v>0.32562133885457079</v>
      </c>
      <c r="C62" t="b">
        <f t="shared" ca="1" si="1"/>
        <v>1</v>
      </c>
      <c r="D62">
        <f t="shared" ca="1" si="2"/>
        <v>27</v>
      </c>
      <c r="E62">
        <f t="shared" ca="1" si="3"/>
        <v>27</v>
      </c>
      <c r="F62" s="26">
        <f t="shared" ca="1" si="4"/>
        <v>4560.2148939381959</v>
      </c>
      <c r="G62" s="26">
        <f t="shared" ca="1" si="5"/>
        <v>4544.317312131483</v>
      </c>
      <c r="H62" t="str">
        <f t="shared" ca="1" si="6"/>
        <v>Reactive</v>
      </c>
      <c r="I62" s="26">
        <f t="shared" ca="1" si="7"/>
        <v>15.897581806712878</v>
      </c>
    </row>
    <row r="63" spans="1:9" x14ac:dyDescent="0.2">
      <c r="A63">
        <v>60</v>
      </c>
      <c r="B63" s="30">
        <f t="shared" ca="1" si="0"/>
        <v>0.36694130826552274</v>
      </c>
      <c r="C63" t="b">
        <f t="shared" ca="1" si="1"/>
        <v>0</v>
      </c>
      <c r="D63">
        <f t="shared" ca="1" si="2"/>
        <v>29</v>
      </c>
      <c r="E63">
        <f t="shared" ca="1" si="3"/>
        <v>30</v>
      </c>
      <c r="F63" s="26">
        <f t="shared" ca="1" si="4"/>
        <v>4560.6042020169825</v>
      </c>
      <c r="G63" s="26">
        <f t="shared" ca="1" si="5"/>
        <v>4560.1675423176293</v>
      </c>
      <c r="H63" t="str">
        <f t="shared" ca="1" si="6"/>
        <v>Reactive</v>
      </c>
      <c r="I63" s="26">
        <f t="shared" ca="1" si="7"/>
        <v>0.43665969935318572</v>
      </c>
    </row>
    <row r="64" spans="1:9" x14ac:dyDescent="0.2">
      <c r="A64">
        <v>61</v>
      </c>
      <c r="B64" s="30">
        <f t="shared" ca="1" si="0"/>
        <v>0.82929610325951586</v>
      </c>
      <c r="C64" t="b">
        <f t="shared" ca="1" si="1"/>
        <v>0</v>
      </c>
      <c r="D64">
        <f t="shared" ca="1" si="2"/>
        <v>27</v>
      </c>
      <c r="E64">
        <f t="shared" ca="1" si="3"/>
        <v>30</v>
      </c>
      <c r="F64" s="26">
        <f t="shared" ca="1" si="4"/>
        <v>4560.7068601069441</v>
      </c>
      <c r="G64" s="26">
        <f t="shared" ca="1" si="5"/>
        <v>4561.4022193620003</v>
      </c>
      <c r="H64" t="str">
        <f t="shared" ca="1" si="6"/>
        <v>Static</v>
      </c>
      <c r="I64" s="26">
        <f t="shared" ca="1" si="7"/>
        <v>-0.69535925505624618</v>
      </c>
    </row>
    <row r="65" spans="1:9" x14ac:dyDescent="0.2">
      <c r="A65">
        <v>62</v>
      </c>
      <c r="B65" s="30">
        <f t="shared" ca="1" si="0"/>
        <v>0.50234252115762834</v>
      </c>
      <c r="C65" t="b">
        <f t="shared" ca="1" si="1"/>
        <v>0</v>
      </c>
      <c r="D65">
        <f t="shared" ca="1" si="2"/>
        <v>29</v>
      </c>
      <c r="E65">
        <f t="shared" ca="1" si="3"/>
        <v>30</v>
      </c>
      <c r="F65" s="26">
        <f t="shared" ca="1" si="4"/>
        <v>4558.7508281234277</v>
      </c>
      <c r="G65" s="26">
        <f t="shared" ca="1" si="5"/>
        <v>4558.9838488725482</v>
      </c>
      <c r="H65" t="str">
        <f t="shared" ca="1" si="6"/>
        <v>Static</v>
      </c>
      <c r="I65" s="26">
        <f t="shared" ca="1" si="7"/>
        <v>-0.23302074912044191</v>
      </c>
    </row>
    <row r="66" spans="1:9" x14ac:dyDescent="0.2">
      <c r="A66">
        <v>63</v>
      </c>
      <c r="B66" s="30">
        <f t="shared" ca="1" si="0"/>
        <v>0.65990978793246202</v>
      </c>
      <c r="C66" t="b">
        <f t="shared" ca="1" si="1"/>
        <v>0</v>
      </c>
      <c r="D66">
        <f t="shared" ca="1" si="2"/>
        <v>28</v>
      </c>
      <c r="E66">
        <f t="shared" ca="1" si="3"/>
        <v>30</v>
      </c>
      <c r="F66" s="26">
        <f t="shared" ca="1" si="4"/>
        <v>4558.6408516107331</v>
      </c>
      <c r="G66" s="26">
        <f t="shared" ca="1" si="5"/>
        <v>4560.3692001656236</v>
      </c>
      <c r="H66" t="str">
        <f t="shared" ca="1" si="6"/>
        <v>Static</v>
      </c>
      <c r="I66" s="26">
        <f t="shared" ca="1" si="7"/>
        <v>-1.7283485548905446</v>
      </c>
    </row>
    <row r="67" spans="1:9" x14ac:dyDescent="0.2">
      <c r="A67">
        <v>64</v>
      </c>
      <c r="B67" s="30">
        <f t="shared" ca="1" si="0"/>
        <v>0.19768966425482226</v>
      </c>
      <c r="C67" t="b">
        <f t="shared" ca="1" si="1"/>
        <v>1</v>
      </c>
      <c r="D67">
        <f t="shared" ca="1" si="2"/>
        <v>29</v>
      </c>
      <c r="E67">
        <f t="shared" ca="1" si="3"/>
        <v>29</v>
      </c>
      <c r="F67" s="26">
        <f t="shared" ca="1" si="4"/>
        <v>4556.8768273363939</v>
      </c>
      <c r="G67" s="26">
        <f t="shared" ca="1" si="5"/>
        <v>4542.291969320966</v>
      </c>
      <c r="H67" t="str">
        <f t="shared" ca="1" si="6"/>
        <v>Reactive</v>
      </c>
      <c r="I67" s="26">
        <f t="shared" ca="1" si="7"/>
        <v>14.584858015427926</v>
      </c>
    </row>
    <row r="68" spans="1:9" x14ac:dyDescent="0.2">
      <c r="A68">
        <v>65</v>
      </c>
      <c r="B68" s="30">
        <f t="shared" ref="B68:B131" ca="1" si="8">RAND()</f>
        <v>0.98790700613626337</v>
      </c>
      <c r="C68" t="b">
        <f t="shared" ref="C68:C131" ca="1" si="9">B68&lt;ProbSC</f>
        <v>0</v>
      </c>
      <c r="D68">
        <f t="shared" ref="D68:D131" ca="1" si="10">ReactMin+INT(RAND()*(ReactMax-ReactMin+1))</f>
        <v>26</v>
      </c>
      <c r="E68">
        <f t="shared" ref="E68:E131" ca="1" si="11">IF(C68,D68,MustLap)</f>
        <v>30</v>
      </c>
      <c r="F68" s="26">
        <f t="shared" ref="F68:F131" ca="1" si="12">BaseLap*Laps+Deg*(PlanLap*(PlanLap-1)/2+(Laps-PlanLap)*(Laps-PlanLap-1)/2)+PitGreen+NORMINV(RAND(),0,NoiseSD)</f>
        <v>4560.7005231844114</v>
      </c>
      <c r="G68" s="26">
        <f t="shared" ref="G68:G131" ca="1" si="13">BaseLap*Laps+Deg*(E68*(E68-1)/2+(Laps-E68)*(Laps-E68-1)/2)+IF(C68,PitSC,PitGreen)+NORMINV(RAND(),0,NoiseSD)</f>
        <v>4562.2426551984727</v>
      </c>
      <c r="H68" t="str">
        <f t="shared" ref="H68:H131" ca="1" si="14">IF(F68&lt;G68,"Static","Reactive")</f>
        <v>Static</v>
      </c>
      <c r="I68" s="26">
        <f t="shared" ref="I68:I131" ca="1" si="15">F68-G68</f>
        <v>-1.5421320140612806</v>
      </c>
    </row>
    <row r="69" spans="1:9" x14ac:dyDescent="0.2">
      <c r="A69">
        <v>66</v>
      </c>
      <c r="B69" s="30">
        <f t="shared" ca="1" si="8"/>
        <v>0.13560262829365599</v>
      </c>
      <c r="C69" t="b">
        <f t="shared" ca="1" si="9"/>
        <v>1</v>
      </c>
      <c r="D69">
        <f t="shared" ca="1" si="10"/>
        <v>27</v>
      </c>
      <c r="E69">
        <f t="shared" ca="1" si="11"/>
        <v>27</v>
      </c>
      <c r="F69" s="26">
        <f t="shared" ca="1" si="12"/>
        <v>4559.5126155064709</v>
      </c>
      <c r="G69" s="26">
        <f t="shared" ca="1" si="13"/>
        <v>4543.1015197633915</v>
      </c>
      <c r="H69" t="str">
        <f t="shared" ca="1" si="14"/>
        <v>Reactive</v>
      </c>
      <c r="I69" s="26">
        <f t="shared" ca="1" si="15"/>
        <v>16.411095743079386</v>
      </c>
    </row>
    <row r="70" spans="1:9" x14ac:dyDescent="0.2">
      <c r="A70">
        <v>67</v>
      </c>
      <c r="B70" s="30">
        <f t="shared" ca="1" si="8"/>
        <v>0.74622521982254286</v>
      </c>
      <c r="C70" t="b">
        <f t="shared" ca="1" si="9"/>
        <v>0</v>
      </c>
      <c r="D70">
        <f t="shared" ca="1" si="10"/>
        <v>27</v>
      </c>
      <c r="E70">
        <f t="shared" ca="1" si="11"/>
        <v>30</v>
      </c>
      <c r="F70" s="26">
        <f t="shared" ca="1" si="12"/>
        <v>4558.3494612342056</v>
      </c>
      <c r="G70" s="26">
        <f t="shared" ca="1" si="13"/>
        <v>4562.7645879169677</v>
      </c>
      <c r="H70" t="str">
        <f t="shared" ca="1" si="14"/>
        <v>Static</v>
      </c>
      <c r="I70" s="26">
        <f t="shared" ca="1" si="15"/>
        <v>-4.415126682762093</v>
      </c>
    </row>
    <row r="71" spans="1:9" x14ac:dyDescent="0.2">
      <c r="A71">
        <v>68</v>
      </c>
      <c r="B71" s="30">
        <f t="shared" ca="1" si="8"/>
        <v>0.39996769709573066</v>
      </c>
      <c r="C71" t="b">
        <f t="shared" ca="1" si="9"/>
        <v>0</v>
      </c>
      <c r="D71">
        <f t="shared" ca="1" si="10"/>
        <v>29</v>
      </c>
      <c r="E71">
        <f t="shared" ca="1" si="11"/>
        <v>30</v>
      </c>
      <c r="F71" s="26">
        <f t="shared" ca="1" si="12"/>
        <v>4559.1309432844173</v>
      </c>
      <c r="G71" s="26">
        <f t="shared" ca="1" si="13"/>
        <v>4559.7455987073718</v>
      </c>
      <c r="H71" t="str">
        <f t="shared" ca="1" si="14"/>
        <v>Static</v>
      </c>
      <c r="I71" s="26">
        <f t="shared" ca="1" si="15"/>
        <v>-0.6146554229544563</v>
      </c>
    </row>
    <row r="72" spans="1:9" x14ac:dyDescent="0.2">
      <c r="A72">
        <v>69</v>
      </c>
      <c r="B72" s="30">
        <f t="shared" ca="1" si="8"/>
        <v>0.77490145087405737</v>
      </c>
      <c r="C72" t="b">
        <f t="shared" ca="1" si="9"/>
        <v>0</v>
      </c>
      <c r="D72">
        <f t="shared" ca="1" si="10"/>
        <v>30</v>
      </c>
      <c r="E72">
        <f t="shared" ca="1" si="11"/>
        <v>30</v>
      </c>
      <c r="F72" s="26">
        <f t="shared" ca="1" si="12"/>
        <v>4558.2013651755497</v>
      </c>
      <c r="G72" s="26">
        <f t="shared" ca="1" si="13"/>
        <v>4562.2652834937235</v>
      </c>
      <c r="H72" t="str">
        <f t="shared" ca="1" si="14"/>
        <v>Static</v>
      </c>
      <c r="I72" s="26">
        <f t="shared" ca="1" si="15"/>
        <v>-4.063918318173819</v>
      </c>
    </row>
    <row r="73" spans="1:9" x14ac:dyDescent="0.2">
      <c r="A73">
        <v>70</v>
      </c>
      <c r="B73" s="30">
        <f t="shared" ca="1" si="8"/>
        <v>0.83734159150153908</v>
      </c>
      <c r="C73" t="b">
        <f t="shared" ca="1" si="9"/>
        <v>0</v>
      </c>
      <c r="D73">
        <f t="shared" ca="1" si="10"/>
        <v>27</v>
      </c>
      <c r="E73">
        <f t="shared" ca="1" si="11"/>
        <v>30</v>
      </c>
      <c r="F73" s="26">
        <f t="shared" ca="1" si="12"/>
        <v>4557.4500174303512</v>
      </c>
      <c r="G73" s="26">
        <f t="shared" ca="1" si="13"/>
        <v>4559.6701337085442</v>
      </c>
      <c r="H73" t="str">
        <f t="shared" ca="1" si="14"/>
        <v>Static</v>
      </c>
      <c r="I73" s="26">
        <f t="shared" ca="1" si="15"/>
        <v>-2.2201162781930179</v>
      </c>
    </row>
    <row r="74" spans="1:9" x14ac:dyDescent="0.2">
      <c r="A74">
        <v>71</v>
      </c>
      <c r="B74" s="30">
        <f t="shared" ca="1" si="8"/>
        <v>0.4613571559180959</v>
      </c>
      <c r="C74" t="b">
        <f t="shared" ca="1" si="9"/>
        <v>0</v>
      </c>
      <c r="D74">
        <f t="shared" ca="1" si="10"/>
        <v>29</v>
      </c>
      <c r="E74">
        <f t="shared" ca="1" si="11"/>
        <v>30</v>
      </c>
      <c r="F74" s="26">
        <f t="shared" ca="1" si="12"/>
        <v>4560.2016179243456</v>
      </c>
      <c r="G74" s="26">
        <f t="shared" ca="1" si="13"/>
        <v>4561.7858046979018</v>
      </c>
      <c r="H74" t="str">
        <f t="shared" ca="1" si="14"/>
        <v>Static</v>
      </c>
      <c r="I74" s="26">
        <f t="shared" ca="1" si="15"/>
        <v>-1.5841867735562118</v>
      </c>
    </row>
    <row r="75" spans="1:9" x14ac:dyDescent="0.2">
      <c r="A75">
        <v>72</v>
      </c>
      <c r="B75" s="30">
        <f t="shared" ca="1" si="8"/>
        <v>0.29388141359767894</v>
      </c>
      <c r="C75" t="b">
        <f t="shared" ca="1" si="9"/>
        <v>1</v>
      </c>
      <c r="D75">
        <f t="shared" ca="1" si="10"/>
        <v>30</v>
      </c>
      <c r="E75">
        <f t="shared" ca="1" si="11"/>
        <v>30</v>
      </c>
      <c r="F75" s="26">
        <f t="shared" ca="1" si="12"/>
        <v>4555.9294383817078</v>
      </c>
      <c r="G75" s="26">
        <f t="shared" ca="1" si="13"/>
        <v>4543.5311618803844</v>
      </c>
      <c r="H75" t="str">
        <f t="shared" ca="1" si="14"/>
        <v>Reactive</v>
      </c>
      <c r="I75" s="26">
        <f t="shared" ca="1" si="15"/>
        <v>12.39827650132338</v>
      </c>
    </row>
    <row r="76" spans="1:9" x14ac:dyDescent="0.2">
      <c r="A76">
        <v>73</v>
      </c>
      <c r="B76" s="30">
        <f t="shared" ca="1" si="8"/>
        <v>0.73103944531321907</v>
      </c>
      <c r="C76" t="b">
        <f t="shared" ca="1" si="9"/>
        <v>0</v>
      </c>
      <c r="D76">
        <f t="shared" ca="1" si="10"/>
        <v>28</v>
      </c>
      <c r="E76">
        <f t="shared" ca="1" si="11"/>
        <v>30</v>
      </c>
      <c r="F76" s="26">
        <f t="shared" ca="1" si="12"/>
        <v>4558.1019946129954</v>
      </c>
      <c r="G76" s="26">
        <f t="shared" ca="1" si="13"/>
        <v>4561.0243953315658</v>
      </c>
      <c r="H76" t="str">
        <f t="shared" ca="1" si="14"/>
        <v>Static</v>
      </c>
      <c r="I76" s="26">
        <f t="shared" ca="1" si="15"/>
        <v>-2.9224007185703158</v>
      </c>
    </row>
    <row r="77" spans="1:9" x14ac:dyDescent="0.2">
      <c r="A77">
        <v>74</v>
      </c>
      <c r="B77" s="30">
        <f t="shared" ca="1" si="8"/>
        <v>0.91309492571145079</v>
      </c>
      <c r="C77" t="b">
        <f t="shared" ca="1" si="9"/>
        <v>0</v>
      </c>
      <c r="D77">
        <f t="shared" ca="1" si="10"/>
        <v>30</v>
      </c>
      <c r="E77">
        <f t="shared" ca="1" si="11"/>
        <v>30</v>
      </c>
      <c r="F77" s="26">
        <f t="shared" ca="1" si="12"/>
        <v>4560.181492471731</v>
      </c>
      <c r="G77" s="26">
        <f t="shared" ca="1" si="13"/>
        <v>4558.8225094440841</v>
      </c>
      <c r="H77" t="str">
        <f t="shared" ca="1" si="14"/>
        <v>Reactive</v>
      </c>
      <c r="I77" s="26">
        <f t="shared" ca="1" si="15"/>
        <v>1.3589830276469002</v>
      </c>
    </row>
    <row r="78" spans="1:9" x14ac:dyDescent="0.2">
      <c r="A78">
        <v>75</v>
      </c>
      <c r="B78" s="30">
        <f t="shared" ca="1" si="8"/>
        <v>9.2620845502840554E-2</v>
      </c>
      <c r="C78" t="b">
        <f t="shared" ca="1" si="9"/>
        <v>1</v>
      </c>
      <c r="D78">
        <f t="shared" ca="1" si="10"/>
        <v>30</v>
      </c>
      <c r="E78">
        <f t="shared" ca="1" si="11"/>
        <v>30</v>
      </c>
      <c r="F78" s="26">
        <f t="shared" ca="1" si="12"/>
        <v>4560.9084972242335</v>
      </c>
      <c r="G78" s="26">
        <f t="shared" ca="1" si="13"/>
        <v>4542.0178717365852</v>
      </c>
      <c r="H78" t="str">
        <f t="shared" ca="1" si="14"/>
        <v>Reactive</v>
      </c>
      <c r="I78" s="26">
        <f t="shared" ca="1" si="15"/>
        <v>18.890625487648322</v>
      </c>
    </row>
    <row r="79" spans="1:9" x14ac:dyDescent="0.2">
      <c r="A79">
        <v>76</v>
      </c>
      <c r="B79" s="30">
        <f t="shared" ca="1" si="8"/>
        <v>0.19227770075123785</v>
      </c>
      <c r="C79" t="b">
        <f t="shared" ca="1" si="9"/>
        <v>1</v>
      </c>
      <c r="D79">
        <f t="shared" ca="1" si="10"/>
        <v>26</v>
      </c>
      <c r="E79">
        <f t="shared" ca="1" si="11"/>
        <v>26</v>
      </c>
      <c r="F79" s="26">
        <f t="shared" ca="1" si="12"/>
        <v>4558.4659553757592</v>
      </c>
      <c r="G79" s="26">
        <f t="shared" ca="1" si="13"/>
        <v>4544.4028200900593</v>
      </c>
      <c r="H79" t="str">
        <f t="shared" ca="1" si="14"/>
        <v>Reactive</v>
      </c>
      <c r="I79" s="26">
        <f t="shared" ca="1" si="15"/>
        <v>14.0631352856999</v>
      </c>
    </row>
    <row r="80" spans="1:9" x14ac:dyDescent="0.2">
      <c r="A80">
        <v>77</v>
      </c>
      <c r="B80" s="30">
        <f t="shared" ca="1" si="8"/>
        <v>0.72554307340368507</v>
      </c>
      <c r="C80" t="b">
        <f t="shared" ca="1" si="9"/>
        <v>0</v>
      </c>
      <c r="D80">
        <f t="shared" ca="1" si="10"/>
        <v>30</v>
      </c>
      <c r="E80">
        <f t="shared" ca="1" si="11"/>
        <v>30</v>
      </c>
      <c r="F80" s="26">
        <f t="shared" ca="1" si="12"/>
        <v>4559.772756110674</v>
      </c>
      <c r="G80" s="26">
        <f t="shared" ca="1" si="13"/>
        <v>4561.7615836344803</v>
      </c>
      <c r="H80" t="str">
        <f t="shared" ca="1" si="14"/>
        <v>Static</v>
      </c>
      <c r="I80" s="26">
        <f t="shared" ca="1" si="15"/>
        <v>-1.9888275238063216</v>
      </c>
    </row>
    <row r="81" spans="1:9" x14ac:dyDescent="0.2">
      <c r="A81">
        <v>78</v>
      </c>
      <c r="B81" s="30">
        <f t="shared" ca="1" si="8"/>
        <v>0.35509425375170067</v>
      </c>
      <c r="C81" t="b">
        <f t="shared" ca="1" si="9"/>
        <v>0</v>
      </c>
      <c r="D81">
        <f t="shared" ca="1" si="10"/>
        <v>27</v>
      </c>
      <c r="E81">
        <f t="shared" ca="1" si="11"/>
        <v>30</v>
      </c>
      <c r="F81" s="26">
        <f t="shared" ca="1" si="12"/>
        <v>4557.4688768927927</v>
      </c>
      <c r="G81" s="26">
        <f t="shared" ca="1" si="13"/>
        <v>4560.6995475210733</v>
      </c>
      <c r="H81" t="str">
        <f t="shared" ca="1" si="14"/>
        <v>Static</v>
      </c>
      <c r="I81" s="26">
        <f t="shared" ca="1" si="15"/>
        <v>-3.2306706282806772</v>
      </c>
    </row>
    <row r="82" spans="1:9" x14ac:dyDescent="0.2">
      <c r="A82">
        <v>79</v>
      </c>
      <c r="B82" s="30">
        <f t="shared" ca="1" si="8"/>
        <v>0.61617879294959943</v>
      </c>
      <c r="C82" t="b">
        <f t="shared" ca="1" si="9"/>
        <v>0</v>
      </c>
      <c r="D82">
        <f t="shared" ca="1" si="10"/>
        <v>27</v>
      </c>
      <c r="E82">
        <f t="shared" ca="1" si="11"/>
        <v>30</v>
      </c>
      <c r="F82" s="26">
        <f t="shared" ca="1" si="12"/>
        <v>4559.3658868775019</v>
      </c>
      <c r="G82" s="26">
        <f t="shared" ca="1" si="13"/>
        <v>4560.1611260445216</v>
      </c>
      <c r="H82" t="str">
        <f t="shared" ca="1" si="14"/>
        <v>Static</v>
      </c>
      <c r="I82" s="26">
        <f t="shared" ca="1" si="15"/>
        <v>-0.79523916701964481</v>
      </c>
    </row>
    <row r="83" spans="1:9" x14ac:dyDescent="0.2">
      <c r="A83">
        <v>80</v>
      </c>
      <c r="B83" s="30">
        <f t="shared" ca="1" si="8"/>
        <v>0.30291548816083458</v>
      </c>
      <c r="C83" t="b">
        <f t="shared" ca="1" si="9"/>
        <v>1</v>
      </c>
      <c r="D83">
        <f t="shared" ca="1" si="10"/>
        <v>27</v>
      </c>
      <c r="E83">
        <f t="shared" ca="1" si="11"/>
        <v>27</v>
      </c>
      <c r="F83" s="26">
        <f t="shared" ca="1" si="12"/>
        <v>4559.3109474937673</v>
      </c>
      <c r="G83" s="26">
        <f t="shared" ca="1" si="13"/>
        <v>4542.9831608634358</v>
      </c>
      <c r="H83" t="str">
        <f t="shared" ca="1" si="14"/>
        <v>Reactive</v>
      </c>
      <c r="I83" s="26">
        <f t="shared" ca="1" si="15"/>
        <v>16.327786630331502</v>
      </c>
    </row>
    <row r="84" spans="1:9" x14ac:dyDescent="0.2">
      <c r="A84">
        <v>81</v>
      </c>
      <c r="B84" s="30">
        <f t="shared" ca="1" si="8"/>
        <v>0.5815626123870995</v>
      </c>
      <c r="C84" t="b">
        <f t="shared" ca="1" si="9"/>
        <v>0</v>
      </c>
      <c r="D84">
        <f t="shared" ca="1" si="10"/>
        <v>28</v>
      </c>
      <c r="E84">
        <f t="shared" ca="1" si="11"/>
        <v>30</v>
      </c>
      <c r="F84" s="26">
        <f t="shared" ca="1" si="12"/>
        <v>4560.2634738527449</v>
      </c>
      <c r="G84" s="26">
        <f t="shared" ca="1" si="13"/>
        <v>4560.7113334305695</v>
      </c>
      <c r="H84" t="str">
        <f t="shared" ca="1" si="14"/>
        <v>Static</v>
      </c>
      <c r="I84" s="26">
        <f t="shared" ca="1" si="15"/>
        <v>-0.44785957782460173</v>
      </c>
    </row>
    <row r="85" spans="1:9" x14ac:dyDescent="0.2">
      <c r="A85">
        <v>82</v>
      </c>
      <c r="B85" s="30">
        <f t="shared" ca="1" si="8"/>
        <v>0.45737544923719398</v>
      </c>
      <c r="C85" t="b">
        <f t="shared" ca="1" si="9"/>
        <v>0</v>
      </c>
      <c r="D85">
        <f t="shared" ca="1" si="10"/>
        <v>29</v>
      </c>
      <c r="E85">
        <f t="shared" ca="1" si="11"/>
        <v>30</v>
      </c>
      <c r="F85" s="26">
        <f t="shared" ca="1" si="12"/>
        <v>4558.6513208503457</v>
      </c>
      <c r="G85" s="26">
        <f t="shared" ca="1" si="13"/>
        <v>4559.1559193893263</v>
      </c>
      <c r="H85" t="str">
        <f t="shared" ca="1" si="14"/>
        <v>Static</v>
      </c>
      <c r="I85" s="26">
        <f t="shared" ca="1" si="15"/>
        <v>-0.50459853898064466</v>
      </c>
    </row>
    <row r="86" spans="1:9" x14ac:dyDescent="0.2">
      <c r="A86">
        <v>83</v>
      </c>
      <c r="B86" s="30">
        <f t="shared" ca="1" si="8"/>
        <v>0.59332684411149461</v>
      </c>
      <c r="C86" t="b">
        <f t="shared" ca="1" si="9"/>
        <v>0</v>
      </c>
      <c r="D86">
        <f t="shared" ca="1" si="10"/>
        <v>27</v>
      </c>
      <c r="E86">
        <f t="shared" ca="1" si="11"/>
        <v>30</v>
      </c>
      <c r="F86" s="26">
        <f t="shared" ca="1" si="12"/>
        <v>4560.044413212886</v>
      </c>
      <c r="G86" s="26">
        <f t="shared" ca="1" si="13"/>
        <v>4561.4122169750617</v>
      </c>
      <c r="H86" t="str">
        <f t="shared" ca="1" si="14"/>
        <v>Static</v>
      </c>
      <c r="I86" s="26">
        <f t="shared" ca="1" si="15"/>
        <v>-1.3678037621757539</v>
      </c>
    </row>
    <row r="87" spans="1:9" x14ac:dyDescent="0.2">
      <c r="A87">
        <v>84</v>
      </c>
      <c r="B87" s="30">
        <f t="shared" ca="1" si="8"/>
        <v>0.65686535378822397</v>
      </c>
      <c r="C87" t="b">
        <f t="shared" ca="1" si="9"/>
        <v>0</v>
      </c>
      <c r="D87">
        <f t="shared" ca="1" si="10"/>
        <v>30</v>
      </c>
      <c r="E87">
        <f t="shared" ca="1" si="11"/>
        <v>30</v>
      </c>
      <c r="F87" s="26">
        <f t="shared" ca="1" si="12"/>
        <v>4559.8874256317922</v>
      </c>
      <c r="G87" s="26">
        <f t="shared" ca="1" si="13"/>
        <v>4561.4415366541798</v>
      </c>
      <c r="H87" t="str">
        <f t="shared" ca="1" si="14"/>
        <v>Static</v>
      </c>
      <c r="I87" s="26">
        <f t="shared" ca="1" si="15"/>
        <v>-1.5541110223875876</v>
      </c>
    </row>
    <row r="88" spans="1:9" x14ac:dyDescent="0.2">
      <c r="A88">
        <v>85</v>
      </c>
      <c r="B88" s="30">
        <f t="shared" ca="1" si="8"/>
        <v>0.25542158534211234</v>
      </c>
      <c r="C88" t="b">
        <f t="shared" ca="1" si="9"/>
        <v>1</v>
      </c>
      <c r="D88">
        <f t="shared" ca="1" si="10"/>
        <v>29</v>
      </c>
      <c r="E88">
        <f t="shared" ca="1" si="11"/>
        <v>29</v>
      </c>
      <c r="F88" s="26">
        <f t="shared" ca="1" si="12"/>
        <v>4561.5311030951043</v>
      </c>
      <c r="G88" s="26">
        <f t="shared" ca="1" si="13"/>
        <v>4543.0124440124509</v>
      </c>
      <c r="H88" t="str">
        <f t="shared" ca="1" si="14"/>
        <v>Reactive</v>
      </c>
      <c r="I88" s="26">
        <f t="shared" ca="1" si="15"/>
        <v>18.518659082653357</v>
      </c>
    </row>
    <row r="89" spans="1:9" x14ac:dyDescent="0.2">
      <c r="A89">
        <v>86</v>
      </c>
      <c r="B89" s="30">
        <f t="shared" ca="1" si="8"/>
        <v>0.70166567346445841</v>
      </c>
      <c r="C89" t="b">
        <f t="shared" ca="1" si="9"/>
        <v>0</v>
      </c>
      <c r="D89">
        <f t="shared" ca="1" si="10"/>
        <v>28</v>
      </c>
      <c r="E89">
        <f t="shared" ca="1" si="11"/>
        <v>30</v>
      </c>
      <c r="F89" s="26">
        <f t="shared" ca="1" si="12"/>
        <v>4561.0643955672213</v>
      </c>
      <c r="G89" s="26">
        <f t="shared" ca="1" si="13"/>
        <v>4560.1567291669026</v>
      </c>
      <c r="H89" t="str">
        <f t="shared" ca="1" si="14"/>
        <v>Reactive</v>
      </c>
      <c r="I89" s="26">
        <f t="shared" ca="1" si="15"/>
        <v>0.90766640031870338</v>
      </c>
    </row>
    <row r="90" spans="1:9" x14ac:dyDescent="0.2">
      <c r="A90">
        <v>87</v>
      </c>
      <c r="B90" s="30">
        <f t="shared" ca="1" si="8"/>
        <v>0.9526225981901183</v>
      </c>
      <c r="C90" t="b">
        <f t="shared" ca="1" si="9"/>
        <v>0</v>
      </c>
      <c r="D90">
        <f t="shared" ca="1" si="10"/>
        <v>30</v>
      </c>
      <c r="E90">
        <f t="shared" ca="1" si="11"/>
        <v>30</v>
      </c>
      <c r="F90" s="26">
        <f t="shared" ca="1" si="12"/>
        <v>4559.6757692854708</v>
      </c>
      <c r="G90" s="26">
        <f t="shared" ca="1" si="13"/>
        <v>4560.3542052846469</v>
      </c>
      <c r="H90" t="str">
        <f t="shared" ca="1" si="14"/>
        <v>Static</v>
      </c>
      <c r="I90" s="26">
        <f t="shared" ca="1" si="15"/>
        <v>-0.67843599917614483</v>
      </c>
    </row>
    <row r="91" spans="1:9" x14ac:dyDescent="0.2">
      <c r="A91">
        <v>88</v>
      </c>
      <c r="B91" s="30">
        <f t="shared" ca="1" si="8"/>
        <v>0.8792185149757924</v>
      </c>
      <c r="C91" t="b">
        <f t="shared" ca="1" si="9"/>
        <v>0</v>
      </c>
      <c r="D91">
        <f t="shared" ca="1" si="10"/>
        <v>27</v>
      </c>
      <c r="E91">
        <f t="shared" ca="1" si="11"/>
        <v>30</v>
      </c>
      <c r="F91" s="26">
        <f t="shared" ca="1" si="12"/>
        <v>4557.8649710546233</v>
      </c>
      <c r="G91" s="26">
        <f t="shared" ca="1" si="13"/>
        <v>4559.9751085051294</v>
      </c>
      <c r="H91" t="str">
        <f t="shared" ca="1" si="14"/>
        <v>Static</v>
      </c>
      <c r="I91" s="26">
        <f t="shared" ca="1" si="15"/>
        <v>-2.1101374505060448</v>
      </c>
    </row>
    <row r="92" spans="1:9" x14ac:dyDescent="0.2">
      <c r="A92">
        <v>89</v>
      </c>
      <c r="B92" s="30">
        <f t="shared" ca="1" si="8"/>
        <v>1.266164621578858E-2</v>
      </c>
      <c r="C92" t="b">
        <f t="shared" ca="1" si="9"/>
        <v>1</v>
      </c>
      <c r="D92">
        <f t="shared" ca="1" si="10"/>
        <v>29</v>
      </c>
      <c r="E92">
        <f t="shared" ca="1" si="11"/>
        <v>29</v>
      </c>
      <c r="F92" s="26">
        <f t="shared" ca="1" si="12"/>
        <v>4557.7731054441711</v>
      </c>
      <c r="G92" s="26">
        <f t="shared" ca="1" si="13"/>
        <v>4544.8148955816441</v>
      </c>
      <c r="H92" t="str">
        <f t="shared" ca="1" si="14"/>
        <v>Reactive</v>
      </c>
      <c r="I92" s="26">
        <f t="shared" ca="1" si="15"/>
        <v>12.958209862526928</v>
      </c>
    </row>
    <row r="93" spans="1:9" x14ac:dyDescent="0.2">
      <c r="A93">
        <v>90</v>
      </c>
      <c r="B93" s="30">
        <f t="shared" ca="1" si="8"/>
        <v>0.67746534465652808</v>
      </c>
      <c r="C93" t="b">
        <f t="shared" ca="1" si="9"/>
        <v>0</v>
      </c>
      <c r="D93">
        <f t="shared" ca="1" si="10"/>
        <v>30</v>
      </c>
      <c r="E93">
        <f t="shared" ca="1" si="11"/>
        <v>30</v>
      </c>
      <c r="F93" s="26">
        <f t="shared" ca="1" si="12"/>
        <v>4559.9402194294344</v>
      </c>
      <c r="G93" s="26">
        <f t="shared" ca="1" si="13"/>
        <v>4559.8796936815161</v>
      </c>
      <c r="H93" t="str">
        <f t="shared" ca="1" si="14"/>
        <v>Reactive</v>
      </c>
      <c r="I93" s="26">
        <f t="shared" ca="1" si="15"/>
        <v>6.0525747918291017E-2</v>
      </c>
    </row>
    <row r="94" spans="1:9" x14ac:dyDescent="0.2">
      <c r="A94">
        <v>91</v>
      </c>
      <c r="B94" s="30">
        <f t="shared" ca="1" si="8"/>
        <v>0.7377678047332481</v>
      </c>
      <c r="C94" t="b">
        <f t="shared" ca="1" si="9"/>
        <v>0</v>
      </c>
      <c r="D94">
        <f t="shared" ca="1" si="10"/>
        <v>28</v>
      </c>
      <c r="E94">
        <f t="shared" ca="1" si="11"/>
        <v>30</v>
      </c>
      <c r="F94" s="26">
        <f t="shared" ca="1" si="12"/>
        <v>4558.5147980076299</v>
      </c>
      <c r="G94" s="26">
        <f t="shared" ca="1" si="13"/>
        <v>4560.8212682105132</v>
      </c>
      <c r="H94" t="str">
        <f t="shared" ca="1" si="14"/>
        <v>Static</v>
      </c>
      <c r="I94" s="26">
        <f t="shared" ca="1" si="15"/>
        <v>-2.3064702028832471</v>
      </c>
    </row>
    <row r="95" spans="1:9" x14ac:dyDescent="0.2">
      <c r="A95">
        <v>92</v>
      </c>
      <c r="B95" s="30">
        <f t="shared" ca="1" si="8"/>
        <v>0.69245740006526169</v>
      </c>
      <c r="C95" t="b">
        <f t="shared" ca="1" si="9"/>
        <v>0</v>
      </c>
      <c r="D95">
        <f t="shared" ca="1" si="10"/>
        <v>30</v>
      </c>
      <c r="E95">
        <f t="shared" ca="1" si="11"/>
        <v>30</v>
      </c>
      <c r="F95" s="26">
        <f t="shared" ca="1" si="12"/>
        <v>4558.8289825487809</v>
      </c>
      <c r="G95" s="26">
        <f t="shared" ca="1" si="13"/>
        <v>4562.3338287258812</v>
      </c>
      <c r="H95" t="str">
        <f t="shared" ca="1" si="14"/>
        <v>Static</v>
      </c>
      <c r="I95" s="26">
        <f t="shared" ca="1" si="15"/>
        <v>-3.5048461771002621</v>
      </c>
    </row>
    <row r="96" spans="1:9" x14ac:dyDescent="0.2">
      <c r="A96">
        <v>93</v>
      </c>
      <c r="B96" s="30">
        <f t="shared" ca="1" si="8"/>
        <v>0.75527239387486211</v>
      </c>
      <c r="C96" t="b">
        <f t="shared" ca="1" si="9"/>
        <v>0</v>
      </c>
      <c r="D96">
        <f t="shared" ca="1" si="10"/>
        <v>29</v>
      </c>
      <c r="E96">
        <f t="shared" ca="1" si="11"/>
        <v>30</v>
      </c>
      <c r="F96" s="26">
        <f t="shared" ca="1" si="12"/>
        <v>4560.1835090183304</v>
      </c>
      <c r="G96" s="26">
        <f t="shared" ca="1" si="13"/>
        <v>4559.4480627684561</v>
      </c>
      <c r="H96" t="str">
        <f t="shared" ca="1" si="14"/>
        <v>Reactive</v>
      </c>
      <c r="I96" s="26">
        <f t="shared" ca="1" si="15"/>
        <v>0.73544624987425777</v>
      </c>
    </row>
    <row r="97" spans="1:9" x14ac:dyDescent="0.2">
      <c r="A97">
        <v>94</v>
      </c>
      <c r="B97" s="30">
        <f t="shared" ca="1" si="8"/>
        <v>0.27340262131905335</v>
      </c>
      <c r="C97" t="b">
        <f t="shared" ca="1" si="9"/>
        <v>1</v>
      </c>
      <c r="D97">
        <f t="shared" ca="1" si="10"/>
        <v>29</v>
      </c>
      <c r="E97">
        <f t="shared" ca="1" si="11"/>
        <v>29</v>
      </c>
      <c r="F97" s="26">
        <f t="shared" ca="1" si="12"/>
        <v>4558.6127115651007</v>
      </c>
      <c r="G97" s="26">
        <f t="shared" ca="1" si="13"/>
        <v>4543.2070137840983</v>
      </c>
      <c r="H97" t="str">
        <f t="shared" ca="1" si="14"/>
        <v>Reactive</v>
      </c>
      <c r="I97" s="26">
        <f t="shared" ca="1" si="15"/>
        <v>15.405697781002345</v>
      </c>
    </row>
    <row r="98" spans="1:9" x14ac:dyDescent="0.2">
      <c r="A98">
        <v>95</v>
      </c>
      <c r="B98" s="30">
        <f t="shared" ca="1" si="8"/>
        <v>0.19529951363270159</v>
      </c>
      <c r="C98" t="b">
        <f t="shared" ca="1" si="9"/>
        <v>1</v>
      </c>
      <c r="D98">
        <f t="shared" ca="1" si="10"/>
        <v>28</v>
      </c>
      <c r="E98">
        <f t="shared" ca="1" si="11"/>
        <v>28</v>
      </c>
      <c r="F98" s="26">
        <f t="shared" ca="1" si="12"/>
        <v>4558.3520630948697</v>
      </c>
      <c r="G98" s="26">
        <f t="shared" ca="1" si="13"/>
        <v>4542.3173218773582</v>
      </c>
      <c r="H98" t="str">
        <f t="shared" ca="1" si="14"/>
        <v>Reactive</v>
      </c>
      <c r="I98" s="26">
        <f t="shared" ca="1" si="15"/>
        <v>16.03474121751151</v>
      </c>
    </row>
    <row r="99" spans="1:9" x14ac:dyDescent="0.2">
      <c r="A99">
        <v>96</v>
      </c>
      <c r="B99" s="30">
        <f t="shared" ca="1" si="8"/>
        <v>0.49232693177574127</v>
      </c>
      <c r="C99" t="b">
        <f t="shared" ca="1" si="9"/>
        <v>0</v>
      </c>
      <c r="D99">
        <f t="shared" ca="1" si="10"/>
        <v>29</v>
      </c>
      <c r="E99">
        <f t="shared" ca="1" si="11"/>
        <v>30</v>
      </c>
      <c r="F99" s="26">
        <f t="shared" ca="1" si="12"/>
        <v>4559.475393085635</v>
      </c>
      <c r="G99" s="26">
        <f t="shared" ca="1" si="13"/>
        <v>4561.4647940983159</v>
      </c>
      <c r="H99" t="str">
        <f t="shared" ca="1" si="14"/>
        <v>Static</v>
      </c>
      <c r="I99" s="26">
        <f t="shared" ca="1" si="15"/>
        <v>-1.9894010126809007</v>
      </c>
    </row>
    <row r="100" spans="1:9" x14ac:dyDescent="0.2">
      <c r="A100">
        <v>97</v>
      </c>
      <c r="B100" s="30">
        <f t="shared" ca="1" si="8"/>
        <v>0.84025183745989085</v>
      </c>
      <c r="C100" t="b">
        <f t="shared" ca="1" si="9"/>
        <v>0</v>
      </c>
      <c r="D100">
        <f t="shared" ca="1" si="10"/>
        <v>29</v>
      </c>
      <c r="E100">
        <f t="shared" ca="1" si="11"/>
        <v>30</v>
      </c>
      <c r="F100" s="26">
        <f t="shared" ca="1" si="12"/>
        <v>4558.6449773852783</v>
      </c>
      <c r="G100" s="26">
        <f t="shared" ca="1" si="13"/>
        <v>4558.9440175189757</v>
      </c>
      <c r="H100" t="str">
        <f t="shared" ca="1" si="14"/>
        <v>Static</v>
      </c>
      <c r="I100" s="26">
        <f t="shared" ca="1" si="15"/>
        <v>-0.29904013369741733</v>
      </c>
    </row>
    <row r="101" spans="1:9" x14ac:dyDescent="0.2">
      <c r="A101">
        <v>98</v>
      </c>
      <c r="B101" s="30">
        <f t="shared" ca="1" si="8"/>
        <v>0.33122661298840372</v>
      </c>
      <c r="C101" t="b">
        <f t="shared" ca="1" si="9"/>
        <v>1</v>
      </c>
      <c r="D101">
        <f t="shared" ca="1" si="10"/>
        <v>27</v>
      </c>
      <c r="E101">
        <f t="shared" ca="1" si="11"/>
        <v>27</v>
      </c>
      <c r="F101" s="26">
        <f t="shared" ca="1" si="12"/>
        <v>4558.8034133114425</v>
      </c>
      <c r="G101" s="26">
        <f t="shared" ca="1" si="13"/>
        <v>4542.6122334045231</v>
      </c>
      <c r="H101" t="str">
        <f t="shared" ca="1" si="14"/>
        <v>Reactive</v>
      </c>
      <c r="I101" s="26">
        <f t="shared" ca="1" si="15"/>
        <v>16.191179906919388</v>
      </c>
    </row>
    <row r="102" spans="1:9" x14ac:dyDescent="0.2">
      <c r="A102">
        <v>99</v>
      </c>
      <c r="B102" s="30">
        <f t="shared" ca="1" si="8"/>
        <v>0.27898581668879874</v>
      </c>
      <c r="C102" t="b">
        <f t="shared" ca="1" si="9"/>
        <v>1</v>
      </c>
      <c r="D102">
        <f t="shared" ca="1" si="10"/>
        <v>27</v>
      </c>
      <c r="E102">
        <f t="shared" ca="1" si="11"/>
        <v>27</v>
      </c>
      <c r="F102" s="26">
        <f t="shared" ca="1" si="12"/>
        <v>4557.5741902743193</v>
      </c>
      <c r="G102" s="26">
        <f t="shared" ca="1" si="13"/>
        <v>4543.3948627576065</v>
      </c>
      <c r="H102" t="str">
        <f t="shared" ca="1" si="14"/>
        <v>Reactive</v>
      </c>
      <c r="I102" s="26">
        <f t="shared" ca="1" si="15"/>
        <v>14.179327516712874</v>
      </c>
    </row>
    <row r="103" spans="1:9" x14ac:dyDescent="0.2">
      <c r="A103">
        <v>100</v>
      </c>
      <c r="B103" s="30">
        <f t="shared" ca="1" si="8"/>
        <v>0.9855898941242659</v>
      </c>
      <c r="C103" t="b">
        <f t="shared" ca="1" si="9"/>
        <v>0</v>
      </c>
      <c r="D103">
        <f t="shared" ca="1" si="10"/>
        <v>28</v>
      </c>
      <c r="E103">
        <f t="shared" ca="1" si="11"/>
        <v>30</v>
      </c>
      <c r="F103" s="26">
        <f t="shared" ca="1" si="12"/>
        <v>4558.3253643408416</v>
      </c>
      <c r="G103" s="26">
        <f t="shared" ca="1" si="13"/>
        <v>4559.6301161895863</v>
      </c>
      <c r="H103" t="str">
        <f t="shared" ca="1" si="14"/>
        <v>Static</v>
      </c>
      <c r="I103" s="26">
        <f t="shared" ca="1" si="15"/>
        <v>-1.3047518487446723</v>
      </c>
    </row>
    <row r="104" spans="1:9" x14ac:dyDescent="0.2">
      <c r="A104">
        <v>101</v>
      </c>
      <c r="B104" s="30">
        <f t="shared" ca="1" si="8"/>
        <v>0.62673914702206834</v>
      </c>
      <c r="C104" t="b">
        <f t="shared" ca="1" si="9"/>
        <v>0</v>
      </c>
      <c r="D104">
        <f t="shared" ca="1" si="10"/>
        <v>29</v>
      </c>
      <c r="E104">
        <f t="shared" ca="1" si="11"/>
        <v>30</v>
      </c>
      <c r="F104" s="26">
        <f t="shared" ca="1" si="12"/>
        <v>4558.7471583226534</v>
      </c>
      <c r="G104" s="26">
        <f t="shared" ca="1" si="13"/>
        <v>4560.3114649613726</v>
      </c>
      <c r="H104" t="str">
        <f t="shared" ca="1" si="14"/>
        <v>Static</v>
      </c>
      <c r="I104" s="26">
        <f t="shared" ca="1" si="15"/>
        <v>-1.5643066387192448</v>
      </c>
    </row>
    <row r="105" spans="1:9" x14ac:dyDescent="0.2">
      <c r="A105">
        <v>102</v>
      </c>
      <c r="B105" s="30">
        <f t="shared" ca="1" si="8"/>
        <v>0.86416756393074001</v>
      </c>
      <c r="C105" t="b">
        <f t="shared" ca="1" si="9"/>
        <v>0</v>
      </c>
      <c r="D105">
        <f t="shared" ca="1" si="10"/>
        <v>29</v>
      </c>
      <c r="E105">
        <f t="shared" ca="1" si="11"/>
        <v>30</v>
      </c>
      <c r="F105" s="26">
        <f t="shared" ca="1" si="12"/>
        <v>4559.3451977441673</v>
      </c>
      <c r="G105" s="26">
        <f t="shared" ca="1" si="13"/>
        <v>4560.7082798723986</v>
      </c>
      <c r="H105" t="str">
        <f t="shared" ca="1" si="14"/>
        <v>Static</v>
      </c>
      <c r="I105" s="26">
        <f t="shared" ca="1" si="15"/>
        <v>-1.3630821282313264</v>
      </c>
    </row>
    <row r="106" spans="1:9" x14ac:dyDescent="0.2">
      <c r="A106">
        <v>103</v>
      </c>
      <c r="B106" s="30">
        <f t="shared" ca="1" si="8"/>
        <v>0.96478005501830266</v>
      </c>
      <c r="C106" t="b">
        <f t="shared" ca="1" si="9"/>
        <v>0</v>
      </c>
      <c r="D106">
        <f t="shared" ca="1" si="10"/>
        <v>26</v>
      </c>
      <c r="E106">
        <f t="shared" ca="1" si="11"/>
        <v>30</v>
      </c>
      <c r="F106" s="26">
        <f t="shared" ca="1" si="12"/>
        <v>4556.9549718285771</v>
      </c>
      <c r="G106" s="26">
        <f t="shared" ca="1" si="13"/>
        <v>4559.5347769210648</v>
      </c>
      <c r="H106" t="str">
        <f t="shared" ca="1" si="14"/>
        <v>Static</v>
      </c>
      <c r="I106" s="26">
        <f t="shared" ca="1" si="15"/>
        <v>-2.5798050924877316</v>
      </c>
    </row>
    <row r="107" spans="1:9" x14ac:dyDescent="0.2">
      <c r="A107">
        <v>104</v>
      </c>
      <c r="B107" s="30">
        <f t="shared" ca="1" si="8"/>
        <v>0.29036044607224032</v>
      </c>
      <c r="C107" t="b">
        <f t="shared" ca="1" si="9"/>
        <v>1</v>
      </c>
      <c r="D107">
        <f t="shared" ca="1" si="10"/>
        <v>30</v>
      </c>
      <c r="E107">
        <f t="shared" ca="1" si="11"/>
        <v>30</v>
      </c>
      <c r="F107" s="26">
        <f t="shared" ca="1" si="12"/>
        <v>4557.8771607783265</v>
      </c>
      <c r="G107" s="26">
        <f t="shared" ca="1" si="13"/>
        <v>4543.1422774749499</v>
      </c>
      <c r="H107" t="str">
        <f t="shared" ca="1" si="14"/>
        <v>Reactive</v>
      </c>
      <c r="I107" s="26">
        <f t="shared" ca="1" si="15"/>
        <v>14.734883303376591</v>
      </c>
    </row>
    <row r="108" spans="1:9" x14ac:dyDescent="0.2">
      <c r="A108">
        <v>105</v>
      </c>
      <c r="B108" s="30">
        <f t="shared" ca="1" si="8"/>
        <v>0.15893702373379592</v>
      </c>
      <c r="C108" t="b">
        <f t="shared" ca="1" si="9"/>
        <v>1</v>
      </c>
      <c r="D108">
        <f t="shared" ca="1" si="10"/>
        <v>29</v>
      </c>
      <c r="E108">
        <f t="shared" ca="1" si="11"/>
        <v>29</v>
      </c>
      <c r="F108" s="26">
        <f t="shared" ca="1" si="12"/>
        <v>4560.7720199976829</v>
      </c>
      <c r="G108" s="26">
        <f t="shared" ca="1" si="13"/>
        <v>4543.7878397740669</v>
      </c>
      <c r="H108" t="str">
        <f t="shared" ca="1" si="14"/>
        <v>Reactive</v>
      </c>
      <c r="I108" s="26">
        <f t="shared" ca="1" si="15"/>
        <v>16.984180223616022</v>
      </c>
    </row>
    <row r="109" spans="1:9" x14ac:dyDescent="0.2">
      <c r="A109">
        <v>106</v>
      </c>
      <c r="B109" s="30">
        <f t="shared" ca="1" si="8"/>
        <v>0.38569614520394524</v>
      </c>
      <c r="C109" t="b">
        <f t="shared" ca="1" si="9"/>
        <v>0</v>
      </c>
      <c r="D109">
        <f t="shared" ca="1" si="10"/>
        <v>28</v>
      </c>
      <c r="E109">
        <f t="shared" ca="1" si="11"/>
        <v>30</v>
      </c>
      <c r="F109" s="26">
        <f t="shared" ca="1" si="12"/>
        <v>4558.5603992606548</v>
      </c>
      <c r="G109" s="26">
        <f t="shared" ca="1" si="13"/>
        <v>4561.7215884251336</v>
      </c>
      <c r="H109" t="str">
        <f t="shared" ca="1" si="14"/>
        <v>Static</v>
      </c>
      <c r="I109" s="26">
        <f t="shared" ca="1" si="15"/>
        <v>-3.1611891644788557</v>
      </c>
    </row>
    <row r="110" spans="1:9" x14ac:dyDescent="0.2">
      <c r="A110">
        <v>107</v>
      </c>
      <c r="B110" s="30">
        <f t="shared" ca="1" si="8"/>
        <v>2.6546452430005862E-2</v>
      </c>
      <c r="C110" t="b">
        <f t="shared" ca="1" si="9"/>
        <v>1</v>
      </c>
      <c r="D110">
        <f t="shared" ca="1" si="10"/>
        <v>28</v>
      </c>
      <c r="E110">
        <f t="shared" ca="1" si="11"/>
        <v>28</v>
      </c>
      <c r="F110" s="26">
        <f t="shared" ca="1" si="12"/>
        <v>4557.9032780551943</v>
      </c>
      <c r="G110" s="26">
        <f t="shared" ca="1" si="13"/>
        <v>4543.1186147116059</v>
      </c>
      <c r="H110" t="str">
        <f t="shared" ca="1" si="14"/>
        <v>Reactive</v>
      </c>
      <c r="I110" s="26">
        <f t="shared" ca="1" si="15"/>
        <v>14.784663343588363</v>
      </c>
    </row>
    <row r="111" spans="1:9" x14ac:dyDescent="0.2">
      <c r="A111">
        <v>108</v>
      </c>
      <c r="B111" s="30">
        <f t="shared" ca="1" si="8"/>
        <v>0.9180194431073031</v>
      </c>
      <c r="C111" t="b">
        <f t="shared" ca="1" si="9"/>
        <v>0</v>
      </c>
      <c r="D111">
        <f t="shared" ca="1" si="10"/>
        <v>30</v>
      </c>
      <c r="E111">
        <f t="shared" ca="1" si="11"/>
        <v>30</v>
      </c>
      <c r="F111" s="26">
        <f t="shared" ca="1" si="12"/>
        <v>4558.4267510316504</v>
      </c>
      <c r="G111" s="26">
        <f t="shared" ca="1" si="13"/>
        <v>4558.4958814135653</v>
      </c>
      <c r="H111" t="str">
        <f t="shared" ca="1" si="14"/>
        <v>Static</v>
      </c>
      <c r="I111" s="26">
        <f t="shared" ca="1" si="15"/>
        <v>-6.9130381914874306E-2</v>
      </c>
    </row>
    <row r="112" spans="1:9" x14ac:dyDescent="0.2">
      <c r="A112">
        <v>109</v>
      </c>
      <c r="B112" s="30">
        <f t="shared" ca="1" si="8"/>
        <v>0.54835127891586466</v>
      </c>
      <c r="C112" t="b">
        <f t="shared" ca="1" si="9"/>
        <v>0</v>
      </c>
      <c r="D112">
        <f t="shared" ca="1" si="10"/>
        <v>28</v>
      </c>
      <c r="E112">
        <f t="shared" ca="1" si="11"/>
        <v>30</v>
      </c>
      <c r="F112" s="26">
        <f t="shared" ca="1" si="12"/>
        <v>4560.0057272670401</v>
      </c>
      <c r="G112" s="26">
        <f t="shared" ca="1" si="13"/>
        <v>4560.0889647085851</v>
      </c>
      <c r="H112" t="str">
        <f t="shared" ca="1" si="14"/>
        <v>Static</v>
      </c>
      <c r="I112" s="26">
        <f t="shared" ca="1" si="15"/>
        <v>-8.3237441544952162E-2</v>
      </c>
    </row>
    <row r="113" spans="1:9" x14ac:dyDescent="0.2">
      <c r="A113">
        <v>110</v>
      </c>
      <c r="B113" s="30">
        <f t="shared" ca="1" si="8"/>
        <v>0.57049609886071151</v>
      </c>
      <c r="C113" t="b">
        <f t="shared" ca="1" si="9"/>
        <v>0</v>
      </c>
      <c r="D113">
        <f t="shared" ca="1" si="10"/>
        <v>26</v>
      </c>
      <c r="E113">
        <f t="shared" ca="1" si="11"/>
        <v>30</v>
      </c>
      <c r="F113" s="26">
        <f t="shared" ca="1" si="12"/>
        <v>4559.7479488565923</v>
      </c>
      <c r="G113" s="26">
        <f t="shared" ca="1" si="13"/>
        <v>4562.3646956912498</v>
      </c>
      <c r="H113" t="str">
        <f t="shared" ca="1" si="14"/>
        <v>Static</v>
      </c>
      <c r="I113" s="26">
        <f t="shared" ca="1" si="15"/>
        <v>-2.6167468346575333</v>
      </c>
    </row>
    <row r="114" spans="1:9" x14ac:dyDescent="0.2">
      <c r="A114">
        <v>111</v>
      </c>
      <c r="B114" s="30">
        <f t="shared" ca="1" si="8"/>
        <v>0.33966472958921434</v>
      </c>
      <c r="C114" t="b">
        <f t="shared" ca="1" si="9"/>
        <v>1</v>
      </c>
      <c r="D114">
        <f t="shared" ca="1" si="10"/>
        <v>30</v>
      </c>
      <c r="E114">
        <f t="shared" ca="1" si="11"/>
        <v>30</v>
      </c>
      <c r="F114" s="26">
        <f t="shared" ca="1" si="12"/>
        <v>4558.6681416636766</v>
      </c>
      <c r="G114" s="26">
        <f t="shared" ca="1" si="13"/>
        <v>4544.1699025182288</v>
      </c>
      <c r="H114" t="str">
        <f t="shared" ca="1" si="14"/>
        <v>Reactive</v>
      </c>
      <c r="I114" s="26">
        <f t="shared" ca="1" si="15"/>
        <v>14.498239145447769</v>
      </c>
    </row>
    <row r="115" spans="1:9" x14ac:dyDescent="0.2">
      <c r="A115">
        <v>112</v>
      </c>
      <c r="B115" s="30">
        <f t="shared" ca="1" si="8"/>
        <v>3.1926255298251327E-3</v>
      </c>
      <c r="C115" t="b">
        <f t="shared" ca="1" si="9"/>
        <v>1</v>
      </c>
      <c r="D115">
        <f t="shared" ca="1" si="10"/>
        <v>26</v>
      </c>
      <c r="E115">
        <f t="shared" ca="1" si="11"/>
        <v>26</v>
      </c>
      <c r="F115" s="26">
        <f t="shared" ca="1" si="12"/>
        <v>4558.3735895411146</v>
      </c>
      <c r="G115" s="26">
        <f t="shared" ca="1" si="13"/>
        <v>4543.4222374664741</v>
      </c>
      <c r="H115" t="str">
        <f t="shared" ca="1" si="14"/>
        <v>Reactive</v>
      </c>
      <c r="I115" s="26">
        <f t="shared" ca="1" si="15"/>
        <v>14.951352074640454</v>
      </c>
    </row>
    <row r="116" spans="1:9" x14ac:dyDescent="0.2">
      <c r="A116">
        <v>113</v>
      </c>
      <c r="B116" s="30">
        <f t="shared" ca="1" si="8"/>
        <v>0.48985096057537225</v>
      </c>
      <c r="C116" t="b">
        <f t="shared" ca="1" si="9"/>
        <v>0</v>
      </c>
      <c r="D116">
        <f t="shared" ca="1" si="10"/>
        <v>28</v>
      </c>
      <c r="E116">
        <f t="shared" ca="1" si="11"/>
        <v>30</v>
      </c>
      <c r="F116" s="26">
        <f t="shared" ca="1" si="12"/>
        <v>4557.6407960662691</v>
      </c>
      <c r="G116" s="26">
        <f t="shared" ca="1" si="13"/>
        <v>4559.8711148860557</v>
      </c>
      <c r="H116" t="str">
        <f t="shared" ca="1" si="14"/>
        <v>Static</v>
      </c>
      <c r="I116" s="26">
        <f t="shared" ca="1" si="15"/>
        <v>-2.2303188197865893</v>
      </c>
    </row>
    <row r="117" spans="1:9" x14ac:dyDescent="0.2">
      <c r="A117">
        <v>114</v>
      </c>
      <c r="B117" s="30">
        <f t="shared" ca="1" si="8"/>
        <v>0.23834082641979126</v>
      </c>
      <c r="C117" t="b">
        <f t="shared" ca="1" si="9"/>
        <v>1</v>
      </c>
      <c r="D117">
        <f t="shared" ca="1" si="10"/>
        <v>29</v>
      </c>
      <c r="E117">
        <f t="shared" ca="1" si="11"/>
        <v>29</v>
      </c>
      <c r="F117" s="26">
        <f t="shared" ca="1" si="12"/>
        <v>4558.9661822937496</v>
      </c>
      <c r="G117" s="26">
        <f t="shared" ca="1" si="13"/>
        <v>4543.3168663184979</v>
      </c>
      <c r="H117" t="str">
        <f t="shared" ca="1" si="14"/>
        <v>Reactive</v>
      </c>
      <c r="I117" s="26">
        <f t="shared" ca="1" si="15"/>
        <v>15.649315975251739</v>
      </c>
    </row>
    <row r="118" spans="1:9" x14ac:dyDescent="0.2">
      <c r="A118">
        <v>115</v>
      </c>
      <c r="B118" s="30">
        <f t="shared" ca="1" si="8"/>
        <v>0.39630584632803734</v>
      </c>
      <c r="C118" t="b">
        <f t="shared" ca="1" si="9"/>
        <v>0</v>
      </c>
      <c r="D118">
        <f t="shared" ca="1" si="10"/>
        <v>28</v>
      </c>
      <c r="E118">
        <f t="shared" ca="1" si="11"/>
        <v>30</v>
      </c>
      <c r="F118" s="26">
        <f t="shared" ca="1" si="12"/>
        <v>4558.4998161018975</v>
      </c>
      <c r="G118" s="26">
        <f t="shared" ca="1" si="13"/>
        <v>4559.3907348891607</v>
      </c>
      <c r="H118" t="str">
        <f t="shared" ca="1" si="14"/>
        <v>Static</v>
      </c>
      <c r="I118" s="26">
        <f t="shared" ca="1" si="15"/>
        <v>-0.89091878726321738</v>
      </c>
    </row>
    <row r="119" spans="1:9" x14ac:dyDescent="0.2">
      <c r="A119">
        <v>116</v>
      </c>
      <c r="B119" s="30">
        <f t="shared" ca="1" si="8"/>
        <v>5.9827232895998672E-2</v>
      </c>
      <c r="C119" t="b">
        <f t="shared" ca="1" si="9"/>
        <v>1</v>
      </c>
      <c r="D119">
        <f t="shared" ca="1" si="10"/>
        <v>29</v>
      </c>
      <c r="E119">
        <f t="shared" ca="1" si="11"/>
        <v>29</v>
      </c>
      <c r="F119" s="26">
        <f t="shared" ca="1" si="12"/>
        <v>4558.8902797505334</v>
      </c>
      <c r="G119" s="26">
        <f t="shared" ca="1" si="13"/>
        <v>4542.3825124090363</v>
      </c>
      <c r="H119" t="str">
        <f t="shared" ca="1" si="14"/>
        <v>Reactive</v>
      </c>
      <c r="I119" s="26">
        <f t="shared" ca="1" si="15"/>
        <v>16.507767341497129</v>
      </c>
    </row>
    <row r="120" spans="1:9" x14ac:dyDescent="0.2">
      <c r="A120">
        <v>117</v>
      </c>
      <c r="B120" s="30">
        <f t="shared" ca="1" si="8"/>
        <v>0.18326302246929227</v>
      </c>
      <c r="C120" t="b">
        <f t="shared" ca="1" si="9"/>
        <v>1</v>
      </c>
      <c r="D120">
        <f t="shared" ca="1" si="10"/>
        <v>30</v>
      </c>
      <c r="E120">
        <f t="shared" ca="1" si="11"/>
        <v>30</v>
      </c>
      <c r="F120" s="26">
        <f t="shared" ca="1" si="12"/>
        <v>4558.9092427317</v>
      </c>
      <c r="G120" s="26">
        <f t="shared" ca="1" si="13"/>
        <v>4543.8645791994695</v>
      </c>
      <c r="H120" t="str">
        <f t="shared" ca="1" si="14"/>
        <v>Reactive</v>
      </c>
      <c r="I120" s="26">
        <f t="shared" ca="1" si="15"/>
        <v>15.044663532230516</v>
      </c>
    </row>
    <row r="121" spans="1:9" x14ac:dyDescent="0.2">
      <c r="A121">
        <v>118</v>
      </c>
      <c r="B121" s="30">
        <f t="shared" ca="1" si="8"/>
        <v>0.58887143533615716</v>
      </c>
      <c r="C121" t="b">
        <f t="shared" ca="1" si="9"/>
        <v>0</v>
      </c>
      <c r="D121">
        <f t="shared" ca="1" si="10"/>
        <v>29</v>
      </c>
      <c r="E121">
        <f t="shared" ca="1" si="11"/>
        <v>30</v>
      </c>
      <c r="F121" s="26">
        <f t="shared" ca="1" si="12"/>
        <v>4559.1263115431975</v>
      </c>
      <c r="G121" s="26">
        <f t="shared" ca="1" si="13"/>
        <v>4559.2961061937367</v>
      </c>
      <c r="H121" t="str">
        <f t="shared" ca="1" si="14"/>
        <v>Static</v>
      </c>
      <c r="I121" s="26">
        <f t="shared" ca="1" si="15"/>
        <v>-0.1697946505391883</v>
      </c>
    </row>
    <row r="122" spans="1:9" x14ac:dyDescent="0.2">
      <c r="A122">
        <v>119</v>
      </c>
      <c r="B122" s="30">
        <f t="shared" ca="1" si="8"/>
        <v>9.6110409753722092E-2</v>
      </c>
      <c r="C122" t="b">
        <f t="shared" ca="1" si="9"/>
        <v>1</v>
      </c>
      <c r="D122">
        <f t="shared" ca="1" si="10"/>
        <v>26</v>
      </c>
      <c r="E122">
        <f t="shared" ca="1" si="11"/>
        <v>26</v>
      </c>
      <c r="F122" s="26">
        <f t="shared" ca="1" si="12"/>
        <v>4557.7990460089613</v>
      </c>
      <c r="G122" s="26">
        <f t="shared" ca="1" si="13"/>
        <v>4542.4921993018334</v>
      </c>
      <c r="H122" t="str">
        <f t="shared" ca="1" si="14"/>
        <v>Reactive</v>
      </c>
      <c r="I122" s="26">
        <f t="shared" ca="1" si="15"/>
        <v>15.306846707127988</v>
      </c>
    </row>
    <row r="123" spans="1:9" x14ac:dyDescent="0.2">
      <c r="A123">
        <v>120</v>
      </c>
      <c r="B123" s="30">
        <f t="shared" ca="1" si="8"/>
        <v>0.39088245751525397</v>
      </c>
      <c r="C123" t="b">
        <f t="shared" ca="1" si="9"/>
        <v>0</v>
      </c>
      <c r="D123">
        <f t="shared" ca="1" si="10"/>
        <v>27</v>
      </c>
      <c r="E123">
        <f t="shared" ca="1" si="11"/>
        <v>30</v>
      </c>
      <c r="F123" s="26">
        <f t="shared" ca="1" si="12"/>
        <v>4559.8804642810055</v>
      </c>
      <c r="G123" s="26">
        <f t="shared" ca="1" si="13"/>
        <v>4559.8809112138861</v>
      </c>
      <c r="H123" t="str">
        <f t="shared" ca="1" si="14"/>
        <v>Static</v>
      </c>
      <c r="I123" s="26">
        <f t="shared" ca="1" si="15"/>
        <v>-4.4693288054986624E-4</v>
      </c>
    </row>
    <row r="124" spans="1:9" x14ac:dyDescent="0.2">
      <c r="A124">
        <v>121</v>
      </c>
      <c r="B124" s="30">
        <f t="shared" ca="1" si="8"/>
        <v>0.29232669268341449</v>
      </c>
      <c r="C124" t="b">
        <f t="shared" ca="1" si="9"/>
        <v>1</v>
      </c>
      <c r="D124">
        <f t="shared" ca="1" si="10"/>
        <v>26</v>
      </c>
      <c r="E124">
        <f t="shared" ca="1" si="11"/>
        <v>26</v>
      </c>
      <c r="F124" s="26">
        <f t="shared" ca="1" si="12"/>
        <v>4558.6811596067218</v>
      </c>
      <c r="G124" s="26">
        <f t="shared" ca="1" si="13"/>
        <v>4541.1651001430155</v>
      </c>
      <c r="H124" t="str">
        <f t="shared" ca="1" si="14"/>
        <v>Reactive</v>
      </c>
      <c r="I124" s="26">
        <f t="shared" ca="1" si="15"/>
        <v>17.51605946370637</v>
      </c>
    </row>
    <row r="125" spans="1:9" x14ac:dyDescent="0.2">
      <c r="A125">
        <v>122</v>
      </c>
      <c r="B125" s="30">
        <f t="shared" ca="1" si="8"/>
        <v>8.2850510114135134E-2</v>
      </c>
      <c r="C125" t="b">
        <f t="shared" ca="1" si="9"/>
        <v>1</v>
      </c>
      <c r="D125">
        <f t="shared" ca="1" si="10"/>
        <v>30</v>
      </c>
      <c r="E125">
        <f t="shared" ca="1" si="11"/>
        <v>30</v>
      </c>
      <c r="F125" s="26">
        <f t="shared" ca="1" si="12"/>
        <v>4559.6282264937345</v>
      </c>
      <c r="G125" s="26">
        <f t="shared" ca="1" si="13"/>
        <v>4543.2256324514528</v>
      </c>
      <c r="H125" t="str">
        <f t="shared" ca="1" si="14"/>
        <v>Reactive</v>
      </c>
      <c r="I125" s="26">
        <f t="shared" ca="1" si="15"/>
        <v>16.402594042281635</v>
      </c>
    </row>
    <row r="126" spans="1:9" x14ac:dyDescent="0.2">
      <c r="A126">
        <v>123</v>
      </c>
      <c r="B126" s="30">
        <f t="shared" ca="1" si="8"/>
        <v>0.42849236254299106</v>
      </c>
      <c r="C126" t="b">
        <f t="shared" ca="1" si="9"/>
        <v>0</v>
      </c>
      <c r="D126">
        <f t="shared" ca="1" si="10"/>
        <v>30</v>
      </c>
      <c r="E126">
        <f t="shared" ca="1" si="11"/>
        <v>30</v>
      </c>
      <c r="F126" s="26">
        <f t="shared" ca="1" si="12"/>
        <v>4559.8960439437069</v>
      </c>
      <c r="G126" s="26">
        <f t="shared" ca="1" si="13"/>
        <v>4561.9122317631563</v>
      </c>
      <c r="H126" t="str">
        <f t="shared" ca="1" si="14"/>
        <v>Static</v>
      </c>
      <c r="I126" s="26">
        <f t="shared" ca="1" si="15"/>
        <v>-2.016187819449442</v>
      </c>
    </row>
    <row r="127" spans="1:9" x14ac:dyDescent="0.2">
      <c r="A127">
        <v>124</v>
      </c>
      <c r="B127" s="30">
        <f t="shared" ca="1" si="8"/>
        <v>0.71626576328250413</v>
      </c>
      <c r="C127" t="b">
        <f t="shared" ca="1" si="9"/>
        <v>0</v>
      </c>
      <c r="D127">
        <f t="shared" ca="1" si="10"/>
        <v>29</v>
      </c>
      <c r="E127">
        <f t="shared" ca="1" si="11"/>
        <v>30</v>
      </c>
      <c r="F127" s="26">
        <f t="shared" ca="1" si="12"/>
        <v>4559.9222927101591</v>
      </c>
      <c r="G127" s="26">
        <f t="shared" ca="1" si="13"/>
        <v>4558.6299060694928</v>
      </c>
      <c r="H127" t="str">
        <f t="shared" ca="1" si="14"/>
        <v>Reactive</v>
      </c>
      <c r="I127" s="26">
        <f t="shared" ca="1" si="15"/>
        <v>1.2923866406663365</v>
      </c>
    </row>
    <row r="128" spans="1:9" x14ac:dyDescent="0.2">
      <c r="A128">
        <v>125</v>
      </c>
      <c r="B128" s="30">
        <f t="shared" ca="1" si="8"/>
        <v>0.77588756437419226</v>
      </c>
      <c r="C128" t="b">
        <f t="shared" ca="1" si="9"/>
        <v>0</v>
      </c>
      <c r="D128">
        <f t="shared" ca="1" si="10"/>
        <v>30</v>
      </c>
      <c r="E128">
        <f t="shared" ca="1" si="11"/>
        <v>30</v>
      </c>
      <c r="F128" s="26">
        <f t="shared" ca="1" si="12"/>
        <v>4559.5198977731397</v>
      </c>
      <c r="G128" s="26">
        <f t="shared" ca="1" si="13"/>
        <v>4560.4109820077056</v>
      </c>
      <c r="H128" t="str">
        <f t="shared" ca="1" si="14"/>
        <v>Static</v>
      </c>
      <c r="I128" s="26">
        <f t="shared" ca="1" si="15"/>
        <v>-0.89108423456582386</v>
      </c>
    </row>
    <row r="129" spans="1:9" x14ac:dyDescent="0.2">
      <c r="A129">
        <v>126</v>
      </c>
      <c r="B129" s="30">
        <f t="shared" ca="1" si="8"/>
        <v>0.59455022025480064</v>
      </c>
      <c r="C129" t="b">
        <f t="shared" ca="1" si="9"/>
        <v>0</v>
      </c>
      <c r="D129">
        <f t="shared" ca="1" si="10"/>
        <v>28</v>
      </c>
      <c r="E129">
        <f t="shared" ca="1" si="11"/>
        <v>30</v>
      </c>
      <c r="F129" s="26">
        <f t="shared" ca="1" si="12"/>
        <v>4559.6329245988709</v>
      </c>
      <c r="G129" s="26">
        <f t="shared" ca="1" si="13"/>
        <v>4560.7905308124282</v>
      </c>
      <c r="H129" t="str">
        <f t="shared" ca="1" si="14"/>
        <v>Static</v>
      </c>
      <c r="I129" s="26">
        <f t="shared" ca="1" si="15"/>
        <v>-1.1576062135573011</v>
      </c>
    </row>
    <row r="130" spans="1:9" x14ac:dyDescent="0.2">
      <c r="A130">
        <v>127</v>
      </c>
      <c r="B130" s="30">
        <f t="shared" ca="1" si="8"/>
        <v>0.16511105426305028</v>
      </c>
      <c r="C130" t="b">
        <f t="shared" ca="1" si="9"/>
        <v>1</v>
      </c>
      <c r="D130">
        <f t="shared" ca="1" si="10"/>
        <v>28</v>
      </c>
      <c r="E130">
        <f t="shared" ca="1" si="11"/>
        <v>28</v>
      </c>
      <c r="F130" s="26">
        <f t="shared" ca="1" si="12"/>
        <v>4557.5764241301731</v>
      </c>
      <c r="G130" s="26">
        <f t="shared" ca="1" si="13"/>
        <v>4542.2497220946416</v>
      </c>
      <c r="H130" t="str">
        <f t="shared" ca="1" si="14"/>
        <v>Reactive</v>
      </c>
      <c r="I130" s="26">
        <f t="shared" ca="1" si="15"/>
        <v>15.326702035531525</v>
      </c>
    </row>
    <row r="131" spans="1:9" x14ac:dyDescent="0.2">
      <c r="A131">
        <v>128</v>
      </c>
      <c r="B131" s="30">
        <f t="shared" ca="1" si="8"/>
        <v>0.194015083542881</v>
      </c>
      <c r="C131" t="b">
        <f t="shared" ca="1" si="9"/>
        <v>1</v>
      </c>
      <c r="D131">
        <f t="shared" ca="1" si="10"/>
        <v>29</v>
      </c>
      <c r="E131">
        <f t="shared" ca="1" si="11"/>
        <v>29</v>
      </c>
      <c r="F131" s="26">
        <f t="shared" ca="1" si="12"/>
        <v>4559.5620879930902</v>
      </c>
      <c r="G131" s="26">
        <f t="shared" ca="1" si="13"/>
        <v>4544.4074482706965</v>
      </c>
      <c r="H131" t="str">
        <f t="shared" ca="1" si="14"/>
        <v>Reactive</v>
      </c>
      <c r="I131" s="26">
        <f t="shared" ca="1" si="15"/>
        <v>15.154639722393767</v>
      </c>
    </row>
    <row r="132" spans="1:9" x14ac:dyDescent="0.2">
      <c r="A132">
        <v>129</v>
      </c>
      <c r="B132" s="30">
        <f t="shared" ref="B132:B195" ca="1" si="16">RAND()</f>
        <v>1.7272686154507055E-2</v>
      </c>
      <c r="C132" t="b">
        <f t="shared" ref="C132:C195" ca="1" si="17">B132&lt;ProbSC</f>
        <v>1</v>
      </c>
      <c r="D132">
        <f t="shared" ref="D132:D195" ca="1" si="18">ReactMin+INT(RAND()*(ReactMax-ReactMin+1))</f>
        <v>27</v>
      </c>
      <c r="E132">
        <f t="shared" ref="E132:E195" ca="1" si="19">IF(C132,D132,MustLap)</f>
        <v>27</v>
      </c>
      <c r="F132" s="26">
        <f t="shared" ref="F132:F195" ca="1" si="20">BaseLap*Laps+Deg*(PlanLap*(PlanLap-1)/2+(Laps-PlanLap)*(Laps-PlanLap-1)/2)+PitGreen+NORMINV(RAND(),0,NoiseSD)</f>
        <v>4559.4610710710049</v>
      </c>
      <c r="G132" s="26">
        <f t="shared" ref="G132:G195" ca="1" si="21">BaseLap*Laps+Deg*(E132*(E132-1)/2+(Laps-E132)*(Laps-E132-1)/2)+IF(C132,PitSC,PitGreen)+NORMINV(RAND(),0,NoiseSD)</f>
        <v>4544.1763831603339</v>
      </c>
      <c r="H132" t="str">
        <f t="shared" ref="H132:H195" ca="1" si="22">IF(F132&lt;G132,"Static","Reactive")</f>
        <v>Reactive</v>
      </c>
      <c r="I132" s="26">
        <f t="shared" ref="I132:I195" ca="1" si="23">F132-G132</f>
        <v>15.284687910670982</v>
      </c>
    </row>
    <row r="133" spans="1:9" x14ac:dyDescent="0.2">
      <c r="A133">
        <v>130</v>
      </c>
      <c r="B133" s="30">
        <f t="shared" ca="1" si="16"/>
        <v>0.32257500191011024</v>
      </c>
      <c r="C133" t="b">
        <f t="shared" ca="1" si="17"/>
        <v>1</v>
      </c>
      <c r="D133">
        <f t="shared" ca="1" si="18"/>
        <v>29</v>
      </c>
      <c r="E133">
        <f t="shared" ca="1" si="19"/>
        <v>29</v>
      </c>
      <c r="F133" s="26">
        <f t="shared" ca="1" si="20"/>
        <v>4558.0418002163724</v>
      </c>
      <c r="G133" s="26">
        <f t="shared" ca="1" si="21"/>
        <v>4542.7177591319733</v>
      </c>
      <c r="H133" t="str">
        <f t="shared" ca="1" si="22"/>
        <v>Reactive</v>
      </c>
      <c r="I133" s="26">
        <f t="shared" ca="1" si="23"/>
        <v>15.324041084399141</v>
      </c>
    </row>
    <row r="134" spans="1:9" x14ac:dyDescent="0.2">
      <c r="A134">
        <v>131</v>
      </c>
      <c r="B134" s="30">
        <f t="shared" ca="1" si="16"/>
        <v>0.52894521173220477</v>
      </c>
      <c r="C134" t="b">
        <f t="shared" ca="1" si="17"/>
        <v>0</v>
      </c>
      <c r="D134">
        <f t="shared" ca="1" si="18"/>
        <v>27</v>
      </c>
      <c r="E134">
        <f t="shared" ca="1" si="19"/>
        <v>30</v>
      </c>
      <c r="F134" s="26">
        <f t="shared" ca="1" si="20"/>
        <v>4560.7140751288262</v>
      </c>
      <c r="G134" s="26">
        <f t="shared" ca="1" si="21"/>
        <v>4561.5705030534155</v>
      </c>
      <c r="H134" t="str">
        <f t="shared" ca="1" si="22"/>
        <v>Static</v>
      </c>
      <c r="I134" s="26">
        <f t="shared" ca="1" si="23"/>
        <v>-0.85642792458929762</v>
      </c>
    </row>
    <row r="135" spans="1:9" x14ac:dyDescent="0.2">
      <c r="A135">
        <v>132</v>
      </c>
      <c r="B135" s="30">
        <f t="shared" ca="1" si="16"/>
        <v>0.58349744686767424</v>
      </c>
      <c r="C135" t="b">
        <f t="shared" ca="1" si="17"/>
        <v>0</v>
      </c>
      <c r="D135">
        <f t="shared" ca="1" si="18"/>
        <v>28</v>
      </c>
      <c r="E135">
        <f t="shared" ca="1" si="19"/>
        <v>30</v>
      </c>
      <c r="F135" s="26">
        <f t="shared" ca="1" si="20"/>
        <v>4559.1550766964065</v>
      </c>
      <c r="G135" s="26">
        <f t="shared" ca="1" si="21"/>
        <v>4561.3096410954859</v>
      </c>
      <c r="H135" t="str">
        <f t="shared" ca="1" si="22"/>
        <v>Static</v>
      </c>
      <c r="I135" s="26">
        <f t="shared" ca="1" si="23"/>
        <v>-2.1545643990793906</v>
      </c>
    </row>
    <row r="136" spans="1:9" x14ac:dyDescent="0.2">
      <c r="A136">
        <v>133</v>
      </c>
      <c r="B136" s="30">
        <f t="shared" ca="1" si="16"/>
        <v>0.52860093198604385</v>
      </c>
      <c r="C136" t="b">
        <f t="shared" ca="1" si="17"/>
        <v>0</v>
      </c>
      <c r="D136">
        <f t="shared" ca="1" si="18"/>
        <v>30</v>
      </c>
      <c r="E136">
        <f t="shared" ca="1" si="19"/>
        <v>30</v>
      </c>
      <c r="F136" s="26">
        <f t="shared" ca="1" si="20"/>
        <v>4558.8582635337707</v>
      </c>
      <c r="G136" s="26">
        <f t="shared" ca="1" si="21"/>
        <v>4560.7576073793189</v>
      </c>
      <c r="H136" t="str">
        <f t="shared" ca="1" si="22"/>
        <v>Static</v>
      </c>
      <c r="I136" s="26">
        <f t="shared" ca="1" si="23"/>
        <v>-1.8993438455481737</v>
      </c>
    </row>
    <row r="137" spans="1:9" x14ac:dyDescent="0.2">
      <c r="A137">
        <v>134</v>
      </c>
      <c r="B137" s="30">
        <f t="shared" ca="1" si="16"/>
        <v>9.8107206480806508E-2</v>
      </c>
      <c r="C137" t="b">
        <f t="shared" ca="1" si="17"/>
        <v>1</v>
      </c>
      <c r="D137">
        <f t="shared" ca="1" si="18"/>
        <v>30</v>
      </c>
      <c r="E137">
        <f t="shared" ca="1" si="19"/>
        <v>30</v>
      </c>
      <c r="F137" s="26">
        <f t="shared" ca="1" si="20"/>
        <v>4558.135007457633</v>
      </c>
      <c r="G137" s="26">
        <f t="shared" ca="1" si="21"/>
        <v>4543.8960515331137</v>
      </c>
      <c r="H137" t="str">
        <f t="shared" ca="1" si="22"/>
        <v>Reactive</v>
      </c>
      <c r="I137" s="26">
        <f t="shared" ca="1" si="23"/>
        <v>14.23895592451936</v>
      </c>
    </row>
    <row r="138" spans="1:9" x14ac:dyDescent="0.2">
      <c r="A138">
        <v>135</v>
      </c>
      <c r="B138" s="30">
        <f t="shared" ca="1" si="16"/>
        <v>0.83068142977067316</v>
      </c>
      <c r="C138" t="b">
        <f t="shared" ca="1" si="17"/>
        <v>0</v>
      </c>
      <c r="D138">
        <f t="shared" ca="1" si="18"/>
        <v>27</v>
      </c>
      <c r="E138">
        <f t="shared" ca="1" si="19"/>
        <v>30</v>
      </c>
      <c r="F138" s="26">
        <f t="shared" ca="1" si="20"/>
        <v>4559.1187412860272</v>
      </c>
      <c r="G138" s="26">
        <f t="shared" ca="1" si="21"/>
        <v>4559.4078963622651</v>
      </c>
      <c r="H138" t="str">
        <f t="shared" ca="1" si="22"/>
        <v>Static</v>
      </c>
      <c r="I138" s="26">
        <f t="shared" ca="1" si="23"/>
        <v>-0.28915507623787562</v>
      </c>
    </row>
    <row r="139" spans="1:9" x14ac:dyDescent="0.2">
      <c r="A139">
        <v>136</v>
      </c>
      <c r="B139" s="30">
        <f t="shared" ca="1" si="16"/>
        <v>0.62896936760506106</v>
      </c>
      <c r="C139" t="b">
        <f t="shared" ca="1" si="17"/>
        <v>0</v>
      </c>
      <c r="D139">
        <f t="shared" ca="1" si="18"/>
        <v>26</v>
      </c>
      <c r="E139">
        <f t="shared" ca="1" si="19"/>
        <v>30</v>
      </c>
      <c r="F139" s="26">
        <f t="shared" ca="1" si="20"/>
        <v>4557.6955935995802</v>
      </c>
      <c r="G139" s="26">
        <f t="shared" ca="1" si="21"/>
        <v>4559.3728806417821</v>
      </c>
      <c r="H139" t="str">
        <f t="shared" ca="1" si="22"/>
        <v>Static</v>
      </c>
      <c r="I139" s="26">
        <f t="shared" ca="1" si="23"/>
        <v>-1.6772870422018968</v>
      </c>
    </row>
    <row r="140" spans="1:9" x14ac:dyDescent="0.2">
      <c r="A140">
        <v>137</v>
      </c>
      <c r="B140" s="30">
        <f t="shared" ca="1" si="16"/>
        <v>0.39276848767296246</v>
      </c>
      <c r="C140" t="b">
        <f t="shared" ca="1" si="17"/>
        <v>0</v>
      </c>
      <c r="D140">
        <f t="shared" ca="1" si="18"/>
        <v>30</v>
      </c>
      <c r="E140">
        <f t="shared" ca="1" si="19"/>
        <v>30</v>
      </c>
      <c r="F140" s="26">
        <f t="shared" ca="1" si="20"/>
        <v>4559.3160635830673</v>
      </c>
      <c r="G140" s="26">
        <f t="shared" ca="1" si="21"/>
        <v>4559.4861410754365</v>
      </c>
      <c r="H140" t="str">
        <f t="shared" ca="1" si="22"/>
        <v>Static</v>
      </c>
      <c r="I140" s="26">
        <f t="shared" ca="1" si="23"/>
        <v>-0.17007749236927339</v>
      </c>
    </row>
    <row r="141" spans="1:9" x14ac:dyDescent="0.2">
      <c r="A141">
        <v>138</v>
      </c>
      <c r="B141" s="30">
        <f t="shared" ca="1" si="16"/>
        <v>0.7210395015995511</v>
      </c>
      <c r="C141" t="b">
        <f t="shared" ca="1" si="17"/>
        <v>0</v>
      </c>
      <c r="D141">
        <f t="shared" ca="1" si="18"/>
        <v>28</v>
      </c>
      <c r="E141">
        <f t="shared" ca="1" si="19"/>
        <v>30</v>
      </c>
      <c r="F141" s="26">
        <f t="shared" ca="1" si="20"/>
        <v>4559.9164477379327</v>
      </c>
      <c r="G141" s="26">
        <f t="shared" ca="1" si="21"/>
        <v>4560.2768165961761</v>
      </c>
      <c r="H141" t="str">
        <f t="shared" ca="1" si="22"/>
        <v>Static</v>
      </c>
      <c r="I141" s="26">
        <f t="shared" ca="1" si="23"/>
        <v>-0.3603688582434188</v>
      </c>
    </row>
    <row r="142" spans="1:9" x14ac:dyDescent="0.2">
      <c r="A142">
        <v>139</v>
      </c>
      <c r="B142" s="30">
        <f t="shared" ca="1" si="16"/>
        <v>0.76456492887113214</v>
      </c>
      <c r="C142" t="b">
        <f t="shared" ca="1" si="17"/>
        <v>0</v>
      </c>
      <c r="D142">
        <f t="shared" ca="1" si="18"/>
        <v>26</v>
      </c>
      <c r="E142">
        <f t="shared" ca="1" si="19"/>
        <v>30</v>
      </c>
      <c r="F142" s="26">
        <f t="shared" ca="1" si="20"/>
        <v>4559.9673436407402</v>
      </c>
      <c r="G142" s="26">
        <f t="shared" ca="1" si="21"/>
        <v>4558.4955934219652</v>
      </c>
      <c r="H142" t="str">
        <f t="shared" ca="1" si="22"/>
        <v>Reactive</v>
      </c>
      <c r="I142" s="26">
        <f t="shared" ca="1" si="23"/>
        <v>1.4717502187750142</v>
      </c>
    </row>
    <row r="143" spans="1:9" x14ac:dyDescent="0.2">
      <c r="A143">
        <v>140</v>
      </c>
      <c r="B143" s="30">
        <f t="shared" ca="1" si="16"/>
        <v>0.75939851979202233</v>
      </c>
      <c r="C143" t="b">
        <f t="shared" ca="1" si="17"/>
        <v>0</v>
      </c>
      <c r="D143">
        <f t="shared" ca="1" si="18"/>
        <v>30</v>
      </c>
      <c r="E143">
        <f t="shared" ca="1" si="19"/>
        <v>30</v>
      </c>
      <c r="F143" s="26">
        <f t="shared" ca="1" si="20"/>
        <v>4559.0243992064152</v>
      </c>
      <c r="G143" s="26">
        <f t="shared" ca="1" si="21"/>
        <v>4558.7002889107134</v>
      </c>
      <c r="H143" t="str">
        <f t="shared" ca="1" si="22"/>
        <v>Reactive</v>
      </c>
      <c r="I143" s="26">
        <f t="shared" ca="1" si="23"/>
        <v>0.32411029570175742</v>
      </c>
    </row>
    <row r="144" spans="1:9" x14ac:dyDescent="0.2">
      <c r="A144">
        <v>141</v>
      </c>
      <c r="B144" s="30">
        <f t="shared" ca="1" si="16"/>
        <v>0.72790397182841216</v>
      </c>
      <c r="C144" t="b">
        <f t="shared" ca="1" si="17"/>
        <v>0</v>
      </c>
      <c r="D144">
        <f t="shared" ca="1" si="18"/>
        <v>30</v>
      </c>
      <c r="E144">
        <f t="shared" ca="1" si="19"/>
        <v>30</v>
      </c>
      <c r="F144" s="26">
        <f t="shared" ca="1" si="20"/>
        <v>4558.7591113340159</v>
      </c>
      <c r="G144" s="26">
        <f t="shared" ca="1" si="21"/>
        <v>4559.8241859194341</v>
      </c>
      <c r="H144" t="str">
        <f t="shared" ca="1" si="22"/>
        <v>Static</v>
      </c>
      <c r="I144" s="26">
        <f t="shared" ca="1" si="23"/>
        <v>-1.0650745854181878</v>
      </c>
    </row>
    <row r="145" spans="1:9" x14ac:dyDescent="0.2">
      <c r="A145">
        <v>142</v>
      </c>
      <c r="B145" s="30">
        <f t="shared" ca="1" si="16"/>
        <v>0.46637453300221354</v>
      </c>
      <c r="C145" t="b">
        <f t="shared" ca="1" si="17"/>
        <v>0</v>
      </c>
      <c r="D145">
        <f t="shared" ca="1" si="18"/>
        <v>30</v>
      </c>
      <c r="E145">
        <f t="shared" ca="1" si="19"/>
        <v>30</v>
      </c>
      <c r="F145" s="26">
        <f t="shared" ca="1" si="20"/>
        <v>4558.0230755196626</v>
      </c>
      <c r="G145" s="26">
        <f t="shared" ca="1" si="21"/>
        <v>4560.9060327734096</v>
      </c>
      <c r="H145" t="str">
        <f t="shared" ca="1" si="22"/>
        <v>Static</v>
      </c>
      <c r="I145" s="26">
        <f t="shared" ca="1" si="23"/>
        <v>-2.8829572537470085</v>
      </c>
    </row>
    <row r="146" spans="1:9" x14ac:dyDescent="0.2">
      <c r="A146">
        <v>143</v>
      </c>
      <c r="B146" s="30">
        <f t="shared" ca="1" si="16"/>
        <v>0.80294092032290043</v>
      </c>
      <c r="C146" t="b">
        <f t="shared" ca="1" si="17"/>
        <v>0</v>
      </c>
      <c r="D146">
        <f t="shared" ca="1" si="18"/>
        <v>27</v>
      </c>
      <c r="E146">
        <f t="shared" ca="1" si="19"/>
        <v>30</v>
      </c>
      <c r="F146" s="26">
        <f t="shared" ca="1" si="20"/>
        <v>4559.2703398841641</v>
      </c>
      <c r="G146" s="26">
        <f t="shared" ca="1" si="21"/>
        <v>4559.1131650111438</v>
      </c>
      <c r="H146" t="str">
        <f t="shared" ca="1" si="22"/>
        <v>Reactive</v>
      </c>
      <c r="I146" s="26">
        <f t="shared" ca="1" si="23"/>
        <v>0.15717487302026711</v>
      </c>
    </row>
    <row r="147" spans="1:9" x14ac:dyDescent="0.2">
      <c r="A147">
        <v>144</v>
      </c>
      <c r="B147" s="30">
        <f t="shared" ca="1" si="16"/>
        <v>0.56825513419154439</v>
      </c>
      <c r="C147" t="b">
        <f t="shared" ca="1" si="17"/>
        <v>0</v>
      </c>
      <c r="D147">
        <f t="shared" ca="1" si="18"/>
        <v>30</v>
      </c>
      <c r="E147">
        <f t="shared" ca="1" si="19"/>
        <v>30</v>
      </c>
      <c r="F147" s="26">
        <f t="shared" ca="1" si="20"/>
        <v>4558.016098269366</v>
      </c>
      <c r="G147" s="26">
        <f t="shared" ca="1" si="21"/>
        <v>4560.2463315341447</v>
      </c>
      <c r="H147" t="str">
        <f t="shared" ca="1" si="22"/>
        <v>Static</v>
      </c>
      <c r="I147" s="26">
        <f t="shared" ca="1" si="23"/>
        <v>-2.2302332647786898</v>
      </c>
    </row>
    <row r="148" spans="1:9" x14ac:dyDescent="0.2">
      <c r="A148">
        <v>145</v>
      </c>
      <c r="B148" s="30">
        <f t="shared" ca="1" si="16"/>
        <v>0.77220242081269153</v>
      </c>
      <c r="C148" t="b">
        <f t="shared" ca="1" si="17"/>
        <v>0</v>
      </c>
      <c r="D148">
        <f t="shared" ca="1" si="18"/>
        <v>27</v>
      </c>
      <c r="E148">
        <f t="shared" ca="1" si="19"/>
        <v>30</v>
      </c>
      <c r="F148" s="26">
        <f t="shared" ca="1" si="20"/>
        <v>4556.9866388445816</v>
      </c>
      <c r="G148" s="26">
        <f t="shared" ca="1" si="21"/>
        <v>4561.0964484501883</v>
      </c>
      <c r="H148" t="str">
        <f t="shared" ca="1" si="22"/>
        <v>Static</v>
      </c>
      <c r="I148" s="26">
        <f t="shared" ca="1" si="23"/>
        <v>-4.1098096056066424</v>
      </c>
    </row>
    <row r="149" spans="1:9" x14ac:dyDescent="0.2">
      <c r="A149">
        <v>146</v>
      </c>
      <c r="B149" s="30">
        <f t="shared" ca="1" si="16"/>
        <v>0.79982421480203614</v>
      </c>
      <c r="C149" t="b">
        <f t="shared" ca="1" si="17"/>
        <v>0</v>
      </c>
      <c r="D149">
        <f t="shared" ca="1" si="18"/>
        <v>29</v>
      </c>
      <c r="E149">
        <f t="shared" ca="1" si="19"/>
        <v>30</v>
      </c>
      <c r="F149" s="26">
        <f t="shared" ca="1" si="20"/>
        <v>4559.8016571226508</v>
      </c>
      <c r="G149" s="26">
        <f t="shared" ca="1" si="21"/>
        <v>4560.0418139341346</v>
      </c>
      <c r="H149" t="str">
        <f t="shared" ca="1" si="22"/>
        <v>Static</v>
      </c>
      <c r="I149" s="26">
        <f t="shared" ca="1" si="23"/>
        <v>-0.24015681148375734</v>
      </c>
    </row>
    <row r="150" spans="1:9" x14ac:dyDescent="0.2">
      <c r="A150">
        <v>147</v>
      </c>
      <c r="B150" s="30">
        <f t="shared" ca="1" si="16"/>
        <v>0.70218049253825066</v>
      </c>
      <c r="C150" t="b">
        <f t="shared" ca="1" si="17"/>
        <v>0</v>
      </c>
      <c r="D150">
        <f t="shared" ca="1" si="18"/>
        <v>29</v>
      </c>
      <c r="E150">
        <f t="shared" ca="1" si="19"/>
        <v>30</v>
      </c>
      <c r="F150" s="26">
        <f t="shared" ca="1" si="20"/>
        <v>4560.7936244483008</v>
      </c>
      <c r="G150" s="26">
        <f t="shared" ca="1" si="21"/>
        <v>4560.291959340464</v>
      </c>
      <c r="H150" t="str">
        <f t="shared" ca="1" si="22"/>
        <v>Reactive</v>
      </c>
      <c r="I150" s="26">
        <f t="shared" ca="1" si="23"/>
        <v>0.50166510783674312</v>
      </c>
    </row>
    <row r="151" spans="1:9" x14ac:dyDescent="0.2">
      <c r="A151">
        <v>148</v>
      </c>
      <c r="B151" s="30">
        <f t="shared" ca="1" si="16"/>
        <v>0.7826053090787346</v>
      </c>
      <c r="C151" t="b">
        <f t="shared" ca="1" si="17"/>
        <v>0</v>
      </c>
      <c r="D151">
        <f t="shared" ca="1" si="18"/>
        <v>27</v>
      </c>
      <c r="E151">
        <f t="shared" ca="1" si="19"/>
        <v>30</v>
      </c>
      <c r="F151" s="26">
        <f t="shared" ca="1" si="20"/>
        <v>4558.3411139024856</v>
      </c>
      <c r="G151" s="26">
        <f t="shared" ca="1" si="21"/>
        <v>4560.060416904782</v>
      </c>
      <c r="H151" t="str">
        <f t="shared" ca="1" si="22"/>
        <v>Static</v>
      </c>
      <c r="I151" s="26">
        <f t="shared" ca="1" si="23"/>
        <v>-1.7193030022963285</v>
      </c>
    </row>
    <row r="152" spans="1:9" x14ac:dyDescent="0.2">
      <c r="A152">
        <v>149</v>
      </c>
      <c r="B152" s="30">
        <f t="shared" ca="1" si="16"/>
        <v>0.11907672524452473</v>
      </c>
      <c r="C152" t="b">
        <f t="shared" ca="1" si="17"/>
        <v>1</v>
      </c>
      <c r="D152">
        <f t="shared" ca="1" si="18"/>
        <v>29</v>
      </c>
      <c r="E152">
        <f t="shared" ca="1" si="19"/>
        <v>29</v>
      </c>
      <c r="F152" s="26">
        <f t="shared" ca="1" si="20"/>
        <v>4558.8368350991859</v>
      </c>
      <c r="G152" s="26">
        <f t="shared" ca="1" si="21"/>
        <v>4543.4668918915468</v>
      </c>
      <c r="H152" t="str">
        <f t="shared" ca="1" si="22"/>
        <v>Reactive</v>
      </c>
      <c r="I152" s="26">
        <f t="shared" ca="1" si="23"/>
        <v>15.369943207639153</v>
      </c>
    </row>
    <row r="153" spans="1:9" x14ac:dyDescent="0.2">
      <c r="A153">
        <v>150</v>
      </c>
      <c r="B153" s="30">
        <f t="shared" ca="1" si="16"/>
        <v>0.92932060445084896</v>
      </c>
      <c r="C153" t="b">
        <f t="shared" ca="1" si="17"/>
        <v>0</v>
      </c>
      <c r="D153">
        <f t="shared" ca="1" si="18"/>
        <v>28</v>
      </c>
      <c r="E153">
        <f t="shared" ca="1" si="19"/>
        <v>30</v>
      </c>
      <c r="F153" s="26">
        <f t="shared" ca="1" si="20"/>
        <v>4559.1888534161299</v>
      </c>
      <c r="G153" s="26">
        <f t="shared" ca="1" si="21"/>
        <v>4559.9098687836513</v>
      </c>
      <c r="H153" t="str">
        <f t="shared" ca="1" si="22"/>
        <v>Static</v>
      </c>
      <c r="I153" s="26">
        <f t="shared" ca="1" si="23"/>
        <v>-0.72101536752143147</v>
      </c>
    </row>
    <row r="154" spans="1:9" x14ac:dyDescent="0.2">
      <c r="A154">
        <v>151</v>
      </c>
      <c r="B154" s="30">
        <f t="shared" ca="1" si="16"/>
        <v>0.53069700552391919</v>
      </c>
      <c r="C154" t="b">
        <f t="shared" ca="1" si="17"/>
        <v>0</v>
      </c>
      <c r="D154">
        <f t="shared" ca="1" si="18"/>
        <v>30</v>
      </c>
      <c r="E154">
        <f t="shared" ca="1" si="19"/>
        <v>30</v>
      </c>
      <c r="F154" s="26">
        <f t="shared" ca="1" si="20"/>
        <v>4559.3927771061299</v>
      </c>
      <c r="G154" s="26">
        <f t="shared" ca="1" si="21"/>
        <v>4561.6408606794694</v>
      </c>
      <c r="H154" t="str">
        <f t="shared" ca="1" si="22"/>
        <v>Static</v>
      </c>
      <c r="I154" s="26">
        <f t="shared" ca="1" si="23"/>
        <v>-2.2480835733394997</v>
      </c>
    </row>
    <row r="155" spans="1:9" x14ac:dyDescent="0.2">
      <c r="A155">
        <v>152</v>
      </c>
      <c r="B155" s="30">
        <f t="shared" ca="1" si="16"/>
        <v>5.9485456712497276E-2</v>
      </c>
      <c r="C155" t="b">
        <f t="shared" ca="1" si="17"/>
        <v>1</v>
      </c>
      <c r="D155">
        <f t="shared" ca="1" si="18"/>
        <v>30</v>
      </c>
      <c r="E155">
        <f t="shared" ca="1" si="19"/>
        <v>30</v>
      </c>
      <c r="F155" s="26">
        <f t="shared" ca="1" si="20"/>
        <v>4559.4351376729519</v>
      </c>
      <c r="G155" s="26">
        <f t="shared" ca="1" si="21"/>
        <v>4543.1724011756178</v>
      </c>
      <c r="H155" t="str">
        <f t="shared" ca="1" si="22"/>
        <v>Reactive</v>
      </c>
      <c r="I155" s="26">
        <f t="shared" ca="1" si="23"/>
        <v>16.262736497334117</v>
      </c>
    </row>
    <row r="156" spans="1:9" x14ac:dyDescent="0.2">
      <c r="A156">
        <v>153</v>
      </c>
      <c r="B156" s="30">
        <f t="shared" ca="1" si="16"/>
        <v>0.50289305403969164</v>
      </c>
      <c r="C156" t="b">
        <f t="shared" ca="1" si="17"/>
        <v>0</v>
      </c>
      <c r="D156">
        <f t="shared" ca="1" si="18"/>
        <v>29</v>
      </c>
      <c r="E156">
        <f t="shared" ca="1" si="19"/>
        <v>30</v>
      </c>
      <c r="F156" s="26">
        <f t="shared" ca="1" si="20"/>
        <v>4557.7538781988642</v>
      </c>
      <c r="G156" s="26">
        <f t="shared" ca="1" si="21"/>
        <v>4560.9233065636017</v>
      </c>
      <c r="H156" t="str">
        <f t="shared" ca="1" si="22"/>
        <v>Static</v>
      </c>
      <c r="I156" s="26">
        <f t="shared" ca="1" si="23"/>
        <v>-3.1694283647375414</v>
      </c>
    </row>
    <row r="157" spans="1:9" x14ac:dyDescent="0.2">
      <c r="A157">
        <v>154</v>
      </c>
      <c r="B157" s="30">
        <f t="shared" ca="1" si="16"/>
        <v>2.9850683389860411E-2</v>
      </c>
      <c r="C157" t="b">
        <f t="shared" ca="1" si="17"/>
        <v>1</v>
      </c>
      <c r="D157">
        <f t="shared" ca="1" si="18"/>
        <v>29</v>
      </c>
      <c r="E157">
        <f t="shared" ca="1" si="19"/>
        <v>29</v>
      </c>
      <c r="F157" s="26">
        <f t="shared" ca="1" si="20"/>
        <v>4559.3098205817651</v>
      </c>
      <c r="G157" s="26">
        <f t="shared" ca="1" si="21"/>
        <v>4542.3964451823458</v>
      </c>
      <c r="H157" t="str">
        <f t="shared" ca="1" si="22"/>
        <v>Reactive</v>
      </c>
      <c r="I157" s="26">
        <f t="shared" ca="1" si="23"/>
        <v>16.913375399419238</v>
      </c>
    </row>
    <row r="158" spans="1:9" x14ac:dyDescent="0.2">
      <c r="A158">
        <v>155</v>
      </c>
      <c r="B158" s="30">
        <f t="shared" ca="1" si="16"/>
        <v>0.46182229448581358</v>
      </c>
      <c r="C158" t="b">
        <f t="shared" ca="1" si="17"/>
        <v>0</v>
      </c>
      <c r="D158">
        <f t="shared" ca="1" si="18"/>
        <v>30</v>
      </c>
      <c r="E158">
        <f t="shared" ca="1" si="19"/>
        <v>30</v>
      </c>
      <c r="F158" s="26">
        <f t="shared" ca="1" si="20"/>
        <v>4558.2028810024985</v>
      </c>
      <c r="G158" s="26">
        <f t="shared" ca="1" si="21"/>
        <v>4560.8965893291615</v>
      </c>
      <c r="H158" t="str">
        <f t="shared" ca="1" si="22"/>
        <v>Static</v>
      </c>
      <c r="I158" s="26">
        <f t="shared" ca="1" si="23"/>
        <v>-2.6937083266629998</v>
      </c>
    </row>
    <row r="159" spans="1:9" x14ac:dyDescent="0.2">
      <c r="A159">
        <v>156</v>
      </c>
      <c r="B159" s="30">
        <f t="shared" ca="1" si="16"/>
        <v>3.4243243331263051E-2</v>
      </c>
      <c r="C159" t="b">
        <f t="shared" ca="1" si="17"/>
        <v>1</v>
      </c>
      <c r="D159">
        <f t="shared" ca="1" si="18"/>
        <v>30</v>
      </c>
      <c r="E159">
        <f t="shared" ca="1" si="19"/>
        <v>30</v>
      </c>
      <c r="F159" s="26">
        <f t="shared" ca="1" si="20"/>
        <v>4558.6031194453335</v>
      </c>
      <c r="G159" s="26">
        <f t="shared" ca="1" si="21"/>
        <v>4541.8382408403049</v>
      </c>
      <c r="H159" t="str">
        <f t="shared" ca="1" si="22"/>
        <v>Reactive</v>
      </c>
      <c r="I159" s="26">
        <f t="shared" ca="1" si="23"/>
        <v>16.764878605028571</v>
      </c>
    </row>
    <row r="160" spans="1:9" x14ac:dyDescent="0.2">
      <c r="A160">
        <v>157</v>
      </c>
      <c r="B160" s="30">
        <f t="shared" ca="1" si="16"/>
        <v>0.53064231726829947</v>
      </c>
      <c r="C160" t="b">
        <f t="shared" ca="1" si="17"/>
        <v>0</v>
      </c>
      <c r="D160">
        <f t="shared" ca="1" si="18"/>
        <v>29</v>
      </c>
      <c r="E160">
        <f t="shared" ca="1" si="19"/>
        <v>30</v>
      </c>
      <c r="F160" s="26">
        <f t="shared" ca="1" si="20"/>
        <v>4558.4963822320597</v>
      </c>
      <c r="G160" s="26">
        <f t="shared" ca="1" si="21"/>
        <v>4560.3728006511437</v>
      </c>
      <c r="H160" t="str">
        <f t="shared" ca="1" si="22"/>
        <v>Static</v>
      </c>
      <c r="I160" s="26">
        <f t="shared" ca="1" si="23"/>
        <v>-1.8764184190840751</v>
      </c>
    </row>
    <row r="161" spans="1:9" x14ac:dyDescent="0.2">
      <c r="A161">
        <v>158</v>
      </c>
      <c r="B161" s="30">
        <f t="shared" ca="1" si="16"/>
        <v>6.9301519364217579E-2</v>
      </c>
      <c r="C161" t="b">
        <f t="shared" ca="1" si="17"/>
        <v>1</v>
      </c>
      <c r="D161">
        <f t="shared" ca="1" si="18"/>
        <v>28</v>
      </c>
      <c r="E161">
        <f t="shared" ca="1" si="19"/>
        <v>28</v>
      </c>
      <c r="F161" s="26">
        <f t="shared" ca="1" si="20"/>
        <v>4559.5828849544887</v>
      </c>
      <c r="G161" s="26">
        <f t="shared" ca="1" si="21"/>
        <v>4541.6822495551669</v>
      </c>
      <c r="H161" t="str">
        <f t="shared" ca="1" si="22"/>
        <v>Reactive</v>
      </c>
      <c r="I161" s="26">
        <f t="shared" ca="1" si="23"/>
        <v>17.9006353993218</v>
      </c>
    </row>
    <row r="162" spans="1:9" x14ac:dyDescent="0.2">
      <c r="A162">
        <v>159</v>
      </c>
      <c r="B162" s="30">
        <f t="shared" ca="1" si="16"/>
        <v>0.89482055882230249</v>
      </c>
      <c r="C162" t="b">
        <f t="shared" ca="1" si="17"/>
        <v>0</v>
      </c>
      <c r="D162">
        <f t="shared" ca="1" si="18"/>
        <v>29</v>
      </c>
      <c r="E162">
        <f t="shared" ca="1" si="19"/>
        <v>30</v>
      </c>
      <c r="F162" s="26">
        <f t="shared" ca="1" si="20"/>
        <v>4560.0066128138178</v>
      </c>
      <c r="G162" s="26">
        <f t="shared" ca="1" si="21"/>
        <v>4561.4738312978716</v>
      </c>
      <c r="H162" t="str">
        <f t="shared" ca="1" si="22"/>
        <v>Static</v>
      </c>
      <c r="I162" s="26">
        <f t="shared" ca="1" si="23"/>
        <v>-1.4672184840537739</v>
      </c>
    </row>
    <row r="163" spans="1:9" x14ac:dyDescent="0.2">
      <c r="A163">
        <v>160</v>
      </c>
      <c r="B163" s="30">
        <f t="shared" ca="1" si="16"/>
        <v>0.33127973091403651</v>
      </c>
      <c r="C163" t="b">
        <f t="shared" ca="1" si="17"/>
        <v>1</v>
      </c>
      <c r="D163">
        <f t="shared" ca="1" si="18"/>
        <v>29</v>
      </c>
      <c r="E163">
        <f t="shared" ca="1" si="19"/>
        <v>29</v>
      </c>
      <c r="F163" s="26">
        <f t="shared" ca="1" si="20"/>
        <v>4557.9588566311968</v>
      </c>
      <c r="G163" s="26">
        <f t="shared" ca="1" si="21"/>
        <v>4542.2006669312987</v>
      </c>
      <c r="H163" t="str">
        <f t="shared" ca="1" si="22"/>
        <v>Reactive</v>
      </c>
      <c r="I163" s="26">
        <f t="shared" ca="1" si="23"/>
        <v>15.758189699898139</v>
      </c>
    </row>
    <row r="164" spans="1:9" x14ac:dyDescent="0.2">
      <c r="A164">
        <v>161</v>
      </c>
      <c r="B164" s="30">
        <f t="shared" ca="1" si="16"/>
        <v>0.80738001710563367</v>
      </c>
      <c r="C164" t="b">
        <f t="shared" ca="1" si="17"/>
        <v>0</v>
      </c>
      <c r="D164">
        <f t="shared" ca="1" si="18"/>
        <v>30</v>
      </c>
      <c r="E164">
        <f t="shared" ca="1" si="19"/>
        <v>30</v>
      </c>
      <c r="F164" s="26">
        <f t="shared" ca="1" si="20"/>
        <v>4559.4839273653934</v>
      </c>
      <c r="G164" s="26">
        <f t="shared" ca="1" si="21"/>
        <v>4561.4783315751292</v>
      </c>
      <c r="H164" t="str">
        <f t="shared" ca="1" si="22"/>
        <v>Static</v>
      </c>
      <c r="I164" s="26">
        <f t="shared" ca="1" si="23"/>
        <v>-1.9944042097358761</v>
      </c>
    </row>
    <row r="165" spans="1:9" x14ac:dyDescent="0.2">
      <c r="A165">
        <v>162</v>
      </c>
      <c r="B165" s="30">
        <f t="shared" ca="1" si="16"/>
        <v>0.4207125586801258</v>
      </c>
      <c r="C165" t="b">
        <f t="shared" ca="1" si="17"/>
        <v>0</v>
      </c>
      <c r="D165">
        <f t="shared" ca="1" si="18"/>
        <v>30</v>
      </c>
      <c r="E165">
        <f t="shared" ca="1" si="19"/>
        <v>30</v>
      </c>
      <c r="F165" s="26">
        <f t="shared" ca="1" si="20"/>
        <v>4556.5960883930275</v>
      </c>
      <c r="G165" s="26">
        <f t="shared" ca="1" si="21"/>
        <v>4559.3825316608963</v>
      </c>
      <c r="H165" t="str">
        <f t="shared" ca="1" si="22"/>
        <v>Static</v>
      </c>
      <c r="I165" s="26">
        <f t="shared" ca="1" si="23"/>
        <v>-2.78644326786889</v>
      </c>
    </row>
    <row r="166" spans="1:9" x14ac:dyDescent="0.2">
      <c r="A166">
        <v>163</v>
      </c>
      <c r="B166" s="30">
        <f t="shared" ca="1" si="16"/>
        <v>0.95464982193598147</v>
      </c>
      <c r="C166" t="b">
        <f t="shared" ca="1" si="17"/>
        <v>0</v>
      </c>
      <c r="D166">
        <f t="shared" ca="1" si="18"/>
        <v>29</v>
      </c>
      <c r="E166">
        <f t="shared" ca="1" si="19"/>
        <v>30</v>
      </c>
      <c r="F166" s="26">
        <f t="shared" ca="1" si="20"/>
        <v>4559.6785880610669</v>
      </c>
      <c r="G166" s="26">
        <f t="shared" ca="1" si="21"/>
        <v>4559.2556248730198</v>
      </c>
      <c r="H166" t="str">
        <f t="shared" ca="1" si="22"/>
        <v>Reactive</v>
      </c>
      <c r="I166" s="26">
        <f t="shared" ca="1" si="23"/>
        <v>0.42296318804710609</v>
      </c>
    </row>
    <row r="167" spans="1:9" x14ac:dyDescent="0.2">
      <c r="A167">
        <v>164</v>
      </c>
      <c r="B167" s="30">
        <f t="shared" ca="1" si="16"/>
        <v>0.88413829389858289</v>
      </c>
      <c r="C167" t="b">
        <f t="shared" ca="1" si="17"/>
        <v>0</v>
      </c>
      <c r="D167">
        <f t="shared" ca="1" si="18"/>
        <v>26</v>
      </c>
      <c r="E167">
        <f t="shared" ca="1" si="19"/>
        <v>30</v>
      </c>
      <c r="F167" s="26">
        <f t="shared" ca="1" si="20"/>
        <v>4557.4783856007316</v>
      </c>
      <c r="G167" s="26">
        <f t="shared" ca="1" si="21"/>
        <v>4562.0455981520399</v>
      </c>
      <c r="H167" t="str">
        <f t="shared" ca="1" si="22"/>
        <v>Static</v>
      </c>
      <c r="I167" s="26">
        <f t="shared" ca="1" si="23"/>
        <v>-4.5672125513083301</v>
      </c>
    </row>
    <row r="168" spans="1:9" x14ac:dyDescent="0.2">
      <c r="A168">
        <v>165</v>
      </c>
      <c r="B168" s="30">
        <f t="shared" ca="1" si="16"/>
        <v>0.73020148929143214</v>
      </c>
      <c r="C168" t="b">
        <f t="shared" ca="1" si="17"/>
        <v>0</v>
      </c>
      <c r="D168">
        <f t="shared" ca="1" si="18"/>
        <v>28</v>
      </c>
      <c r="E168">
        <f t="shared" ca="1" si="19"/>
        <v>30</v>
      </c>
      <c r="F168" s="26">
        <f t="shared" ca="1" si="20"/>
        <v>4557.9816339266099</v>
      </c>
      <c r="G168" s="26">
        <f t="shared" ca="1" si="21"/>
        <v>4561.4762993487111</v>
      </c>
      <c r="H168" t="str">
        <f t="shared" ca="1" si="22"/>
        <v>Static</v>
      </c>
      <c r="I168" s="26">
        <f t="shared" ca="1" si="23"/>
        <v>-3.4946654221012068</v>
      </c>
    </row>
    <row r="169" spans="1:9" x14ac:dyDescent="0.2">
      <c r="A169">
        <v>166</v>
      </c>
      <c r="B169" s="30">
        <f t="shared" ca="1" si="16"/>
        <v>4.3729613276240253E-2</v>
      </c>
      <c r="C169" t="b">
        <f t="shared" ca="1" si="17"/>
        <v>1</v>
      </c>
      <c r="D169">
        <f t="shared" ca="1" si="18"/>
        <v>29</v>
      </c>
      <c r="E169">
        <f t="shared" ca="1" si="19"/>
        <v>29</v>
      </c>
      <c r="F169" s="26">
        <f t="shared" ca="1" si="20"/>
        <v>4557.0796288653992</v>
      </c>
      <c r="G169" s="26">
        <f t="shared" ca="1" si="21"/>
        <v>4542.7997594295011</v>
      </c>
      <c r="H169" t="str">
        <f t="shared" ca="1" si="22"/>
        <v>Reactive</v>
      </c>
      <c r="I169" s="26">
        <f t="shared" ca="1" si="23"/>
        <v>14.279869435898036</v>
      </c>
    </row>
    <row r="170" spans="1:9" x14ac:dyDescent="0.2">
      <c r="A170">
        <v>167</v>
      </c>
      <c r="B170" s="30">
        <f t="shared" ca="1" si="16"/>
        <v>0.43109996987573285</v>
      </c>
      <c r="C170" t="b">
        <f t="shared" ca="1" si="17"/>
        <v>0</v>
      </c>
      <c r="D170">
        <f t="shared" ca="1" si="18"/>
        <v>26</v>
      </c>
      <c r="E170">
        <f t="shared" ca="1" si="19"/>
        <v>30</v>
      </c>
      <c r="F170" s="26">
        <f t="shared" ca="1" si="20"/>
        <v>4558.6265079397017</v>
      </c>
      <c r="G170" s="26">
        <f t="shared" ca="1" si="21"/>
        <v>4559.395119006268</v>
      </c>
      <c r="H170" t="str">
        <f t="shared" ca="1" si="22"/>
        <v>Static</v>
      </c>
      <c r="I170" s="26">
        <f t="shared" ca="1" si="23"/>
        <v>-0.76861106656633638</v>
      </c>
    </row>
    <row r="171" spans="1:9" x14ac:dyDescent="0.2">
      <c r="A171">
        <v>168</v>
      </c>
      <c r="B171" s="30">
        <f t="shared" ca="1" si="16"/>
        <v>0.80794516005782679</v>
      </c>
      <c r="C171" t="b">
        <f t="shared" ca="1" si="17"/>
        <v>0</v>
      </c>
      <c r="D171">
        <f t="shared" ca="1" si="18"/>
        <v>30</v>
      </c>
      <c r="E171">
        <f t="shared" ca="1" si="19"/>
        <v>30</v>
      </c>
      <c r="F171" s="26">
        <f t="shared" ca="1" si="20"/>
        <v>4557.9731164270897</v>
      </c>
      <c r="G171" s="26">
        <f t="shared" ca="1" si="21"/>
        <v>4560.0725742088662</v>
      </c>
      <c r="H171" t="str">
        <f t="shared" ca="1" si="22"/>
        <v>Static</v>
      </c>
      <c r="I171" s="26">
        <f t="shared" ca="1" si="23"/>
        <v>-2.0994577817764366</v>
      </c>
    </row>
    <row r="172" spans="1:9" x14ac:dyDescent="0.2">
      <c r="A172">
        <v>169</v>
      </c>
      <c r="B172" s="30">
        <f t="shared" ca="1" si="16"/>
        <v>0.78079021405357996</v>
      </c>
      <c r="C172" t="b">
        <f t="shared" ca="1" si="17"/>
        <v>0</v>
      </c>
      <c r="D172">
        <f t="shared" ca="1" si="18"/>
        <v>27</v>
      </c>
      <c r="E172">
        <f t="shared" ca="1" si="19"/>
        <v>30</v>
      </c>
      <c r="F172" s="26">
        <f t="shared" ca="1" si="20"/>
        <v>4559.1048797010471</v>
      </c>
      <c r="G172" s="26">
        <f t="shared" ca="1" si="21"/>
        <v>4561.4752363921834</v>
      </c>
      <c r="H172" t="str">
        <f t="shared" ca="1" si="22"/>
        <v>Static</v>
      </c>
      <c r="I172" s="26">
        <f t="shared" ca="1" si="23"/>
        <v>-2.3703566911362941</v>
      </c>
    </row>
    <row r="173" spans="1:9" x14ac:dyDescent="0.2">
      <c r="A173">
        <v>170</v>
      </c>
      <c r="B173" s="30">
        <f t="shared" ca="1" si="16"/>
        <v>0.16825778820011805</v>
      </c>
      <c r="C173" t="b">
        <f t="shared" ca="1" si="17"/>
        <v>1</v>
      </c>
      <c r="D173">
        <f t="shared" ca="1" si="18"/>
        <v>28</v>
      </c>
      <c r="E173">
        <f t="shared" ca="1" si="19"/>
        <v>28</v>
      </c>
      <c r="F173" s="26">
        <f t="shared" ca="1" si="20"/>
        <v>4558.3501057071262</v>
      </c>
      <c r="G173" s="26">
        <f t="shared" ca="1" si="21"/>
        <v>4542.0943397701112</v>
      </c>
      <c r="H173" t="str">
        <f t="shared" ca="1" si="22"/>
        <v>Reactive</v>
      </c>
      <c r="I173" s="26">
        <f t="shared" ca="1" si="23"/>
        <v>16.255765937014985</v>
      </c>
    </row>
    <row r="174" spans="1:9" x14ac:dyDescent="0.2">
      <c r="A174">
        <v>171</v>
      </c>
      <c r="B174" s="30">
        <f t="shared" ca="1" si="16"/>
        <v>0.55283738104032387</v>
      </c>
      <c r="C174" t="b">
        <f t="shared" ca="1" si="17"/>
        <v>0</v>
      </c>
      <c r="D174">
        <f t="shared" ca="1" si="18"/>
        <v>26</v>
      </c>
      <c r="E174">
        <f t="shared" ca="1" si="19"/>
        <v>30</v>
      </c>
      <c r="F174" s="26">
        <f t="shared" ca="1" si="20"/>
        <v>4560.3601827093171</v>
      </c>
      <c r="G174" s="26">
        <f t="shared" ca="1" si="21"/>
        <v>4562.158180042602</v>
      </c>
      <c r="H174" t="str">
        <f t="shared" ca="1" si="22"/>
        <v>Static</v>
      </c>
      <c r="I174" s="26">
        <f t="shared" ca="1" si="23"/>
        <v>-1.7979973332849113</v>
      </c>
    </row>
    <row r="175" spans="1:9" x14ac:dyDescent="0.2">
      <c r="A175">
        <v>172</v>
      </c>
      <c r="B175" s="30">
        <f t="shared" ca="1" si="16"/>
        <v>0.61367099622536458</v>
      </c>
      <c r="C175" t="b">
        <f t="shared" ca="1" si="17"/>
        <v>0</v>
      </c>
      <c r="D175">
        <f t="shared" ca="1" si="18"/>
        <v>30</v>
      </c>
      <c r="E175">
        <f t="shared" ca="1" si="19"/>
        <v>30</v>
      </c>
      <c r="F175" s="26">
        <f t="shared" ca="1" si="20"/>
        <v>4558.1882889812041</v>
      </c>
      <c r="G175" s="26">
        <f t="shared" ca="1" si="21"/>
        <v>4559.5608570948143</v>
      </c>
      <c r="H175" t="str">
        <f t="shared" ca="1" si="22"/>
        <v>Static</v>
      </c>
      <c r="I175" s="26">
        <f t="shared" ca="1" si="23"/>
        <v>-1.3725681136102139</v>
      </c>
    </row>
    <row r="176" spans="1:9" x14ac:dyDescent="0.2">
      <c r="A176">
        <v>173</v>
      </c>
      <c r="B176" s="30">
        <f t="shared" ca="1" si="16"/>
        <v>0.22254419152156846</v>
      </c>
      <c r="C176" t="b">
        <f t="shared" ca="1" si="17"/>
        <v>1</v>
      </c>
      <c r="D176">
        <f t="shared" ca="1" si="18"/>
        <v>28</v>
      </c>
      <c r="E176">
        <f t="shared" ca="1" si="19"/>
        <v>28</v>
      </c>
      <c r="F176" s="26">
        <f t="shared" ca="1" si="20"/>
        <v>4558.8766994481857</v>
      </c>
      <c r="G176" s="26">
        <f t="shared" ca="1" si="21"/>
        <v>4540.3519230963211</v>
      </c>
      <c r="H176" t="str">
        <f t="shared" ca="1" si="22"/>
        <v>Reactive</v>
      </c>
      <c r="I176" s="26">
        <f t="shared" ca="1" si="23"/>
        <v>18.524776351864602</v>
      </c>
    </row>
    <row r="177" spans="1:9" x14ac:dyDescent="0.2">
      <c r="A177">
        <v>174</v>
      </c>
      <c r="B177" s="30">
        <f t="shared" ca="1" si="16"/>
        <v>0.46000015891866153</v>
      </c>
      <c r="C177" t="b">
        <f t="shared" ca="1" si="17"/>
        <v>0</v>
      </c>
      <c r="D177">
        <f t="shared" ca="1" si="18"/>
        <v>30</v>
      </c>
      <c r="E177">
        <f t="shared" ca="1" si="19"/>
        <v>30</v>
      </c>
      <c r="F177" s="26">
        <f t="shared" ca="1" si="20"/>
        <v>4561.5848041541376</v>
      </c>
      <c r="G177" s="26">
        <f t="shared" ca="1" si="21"/>
        <v>4561.6045537430027</v>
      </c>
      <c r="H177" t="str">
        <f t="shared" ca="1" si="22"/>
        <v>Static</v>
      </c>
      <c r="I177" s="26">
        <f t="shared" ca="1" si="23"/>
        <v>-1.9749588865124679E-2</v>
      </c>
    </row>
    <row r="178" spans="1:9" x14ac:dyDescent="0.2">
      <c r="A178">
        <v>175</v>
      </c>
      <c r="B178" s="30">
        <f t="shared" ca="1" si="16"/>
        <v>0.16250951473491571</v>
      </c>
      <c r="C178" t="b">
        <f t="shared" ca="1" si="17"/>
        <v>1</v>
      </c>
      <c r="D178">
        <f t="shared" ca="1" si="18"/>
        <v>27</v>
      </c>
      <c r="E178">
        <f t="shared" ca="1" si="19"/>
        <v>27</v>
      </c>
      <c r="F178" s="26">
        <f t="shared" ca="1" si="20"/>
        <v>4560.2659206537837</v>
      </c>
      <c r="G178" s="26">
        <f t="shared" ca="1" si="21"/>
        <v>4543.1379068357492</v>
      </c>
      <c r="H178" t="str">
        <f t="shared" ca="1" si="22"/>
        <v>Reactive</v>
      </c>
      <c r="I178" s="26">
        <f t="shared" ca="1" si="23"/>
        <v>17.12801381803456</v>
      </c>
    </row>
    <row r="179" spans="1:9" x14ac:dyDescent="0.2">
      <c r="A179">
        <v>176</v>
      </c>
      <c r="B179" s="30">
        <f t="shared" ca="1" si="16"/>
        <v>0.83913329818930082</v>
      </c>
      <c r="C179" t="b">
        <f t="shared" ca="1" si="17"/>
        <v>0</v>
      </c>
      <c r="D179">
        <f t="shared" ca="1" si="18"/>
        <v>30</v>
      </c>
      <c r="E179">
        <f t="shared" ca="1" si="19"/>
        <v>30</v>
      </c>
      <c r="F179" s="26">
        <f t="shared" ca="1" si="20"/>
        <v>4558.5585986980404</v>
      </c>
      <c r="G179" s="26">
        <f t="shared" ca="1" si="21"/>
        <v>4560.3733367594095</v>
      </c>
      <c r="H179" t="str">
        <f t="shared" ca="1" si="22"/>
        <v>Static</v>
      </c>
      <c r="I179" s="26">
        <f t="shared" ca="1" si="23"/>
        <v>-1.8147380613690984</v>
      </c>
    </row>
    <row r="180" spans="1:9" x14ac:dyDescent="0.2">
      <c r="A180">
        <v>177</v>
      </c>
      <c r="B180" s="30">
        <f t="shared" ca="1" si="16"/>
        <v>0.46732683185242119</v>
      </c>
      <c r="C180" t="b">
        <f t="shared" ca="1" si="17"/>
        <v>0</v>
      </c>
      <c r="D180">
        <f t="shared" ca="1" si="18"/>
        <v>26</v>
      </c>
      <c r="E180">
        <f t="shared" ca="1" si="19"/>
        <v>30</v>
      </c>
      <c r="F180" s="26">
        <f t="shared" ca="1" si="20"/>
        <v>4559.5643584142326</v>
      </c>
      <c r="G180" s="26">
        <f t="shared" ca="1" si="21"/>
        <v>4558.8908065041269</v>
      </c>
      <c r="H180" t="str">
        <f t="shared" ca="1" si="22"/>
        <v>Reactive</v>
      </c>
      <c r="I180" s="26">
        <f t="shared" ca="1" si="23"/>
        <v>0.67355191010574345</v>
      </c>
    </row>
    <row r="181" spans="1:9" x14ac:dyDescent="0.2">
      <c r="A181">
        <v>178</v>
      </c>
      <c r="B181" s="30">
        <f t="shared" ca="1" si="16"/>
        <v>4.5616659704677986E-2</v>
      </c>
      <c r="C181" t="b">
        <f t="shared" ca="1" si="17"/>
        <v>1</v>
      </c>
      <c r="D181">
        <f t="shared" ca="1" si="18"/>
        <v>30</v>
      </c>
      <c r="E181">
        <f t="shared" ca="1" si="19"/>
        <v>30</v>
      </c>
      <c r="F181" s="26">
        <f t="shared" ca="1" si="20"/>
        <v>4560.2460240470455</v>
      </c>
      <c r="G181" s="26">
        <f t="shared" ca="1" si="21"/>
        <v>4543.1331073771771</v>
      </c>
      <c r="H181" t="str">
        <f t="shared" ca="1" si="22"/>
        <v>Reactive</v>
      </c>
      <c r="I181" s="26">
        <f t="shared" ca="1" si="23"/>
        <v>17.112916669868355</v>
      </c>
    </row>
    <row r="182" spans="1:9" x14ac:dyDescent="0.2">
      <c r="A182">
        <v>179</v>
      </c>
      <c r="B182" s="30">
        <f t="shared" ca="1" si="16"/>
        <v>0.72225708870256355</v>
      </c>
      <c r="C182" t="b">
        <f t="shared" ca="1" si="17"/>
        <v>0</v>
      </c>
      <c r="D182">
        <f t="shared" ca="1" si="18"/>
        <v>27</v>
      </c>
      <c r="E182">
        <f t="shared" ca="1" si="19"/>
        <v>30</v>
      </c>
      <c r="F182" s="26">
        <f t="shared" ca="1" si="20"/>
        <v>4557.2850961100876</v>
      </c>
      <c r="G182" s="26">
        <f t="shared" ca="1" si="21"/>
        <v>4562.2830472704545</v>
      </c>
      <c r="H182" t="str">
        <f t="shared" ca="1" si="22"/>
        <v>Static</v>
      </c>
      <c r="I182" s="26">
        <f t="shared" ca="1" si="23"/>
        <v>-4.997951160366938</v>
      </c>
    </row>
    <row r="183" spans="1:9" x14ac:dyDescent="0.2">
      <c r="A183">
        <v>180</v>
      </c>
      <c r="B183" s="30">
        <f t="shared" ca="1" si="16"/>
        <v>0.59360864192825247</v>
      </c>
      <c r="C183" t="b">
        <f t="shared" ca="1" si="17"/>
        <v>0</v>
      </c>
      <c r="D183">
        <f t="shared" ca="1" si="18"/>
        <v>28</v>
      </c>
      <c r="E183">
        <f t="shared" ca="1" si="19"/>
        <v>30</v>
      </c>
      <c r="F183" s="26">
        <f t="shared" ca="1" si="20"/>
        <v>4558.7150602255833</v>
      </c>
      <c r="G183" s="26">
        <f t="shared" ca="1" si="21"/>
        <v>4560.7611751659661</v>
      </c>
      <c r="H183" t="str">
        <f t="shared" ca="1" si="22"/>
        <v>Static</v>
      </c>
      <c r="I183" s="26">
        <f t="shared" ca="1" si="23"/>
        <v>-2.0461149403827221</v>
      </c>
    </row>
    <row r="184" spans="1:9" x14ac:dyDescent="0.2">
      <c r="A184">
        <v>181</v>
      </c>
      <c r="B184" s="30">
        <f t="shared" ca="1" si="16"/>
        <v>0.37000344775285299</v>
      </c>
      <c r="C184" t="b">
        <f t="shared" ca="1" si="17"/>
        <v>0</v>
      </c>
      <c r="D184">
        <f t="shared" ca="1" si="18"/>
        <v>27</v>
      </c>
      <c r="E184">
        <f t="shared" ca="1" si="19"/>
        <v>30</v>
      </c>
      <c r="F184" s="26">
        <f t="shared" ca="1" si="20"/>
        <v>4559.4227735299346</v>
      </c>
      <c r="G184" s="26">
        <f t="shared" ca="1" si="21"/>
        <v>4559.9486756963252</v>
      </c>
      <c r="H184" t="str">
        <f t="shared" ca="1" si="22"/>
        <v>Static</v>
      </c>
      <c r="I184" s="26">
        <f t="shared" ca="1" si="23"/>
        <v>-0.52590216639055143</v>
      </c>
    </row>
    <row r="185" spans="1:9" x14ac:dyDescent="0.2">
      <c r="A185">
        <v>182</v>
      </c>
      <c r="B185" s="30">
        <f t="shared" ca="1" si="16"/>
        <v>0.45288462238981064</v>
      </c>
      <c r="C185" t="b">
        <f t="shared" ca="1" si="17"/>
        <v>0</v>
      </c>
      <c r="D185">
        <f t="shared" ca="1" si="18"/>
        <v>26</v>
      </c>
      <c r="E185">
        <f t="shared" ca="1" si="19"/>
        <v>30</v>
      </c>
      <c r="F185" s="26">
        <f t="shared" ca="1" si="20"/>
        <v>4558.1376186503594</v>
      </c>
      <c r="G185" s="26">
        <f t="shared" ca="1" si="21"/>
        <v>4560.4199420939949</v>
      </c>
      <c r="H185" t="str">
        <f t="shared" ca="1" si="22"/>
        <v>Static</v>
      </c>
      <c r="I185" s="26">
        <f t="shared" ca="1" si="23"/>
        <v>-2.2823234436355051</v>
      </c>
    </row>
    <row r="186" spans="1:9" x14ac:dyDescent="0.2">
      <c r="A186">
        <v>183</v>
      </c>
      <c r="B186" s="30">
        <f t="shared" ca="1" si="16"/>
        <v>0.32269040525489767</v>
      </c>
      <c r="C186" t="b">
        <f t="shared" ca="1" si="17"/>
        <v>1</v>
      </c>
      <c r="D186">
        <f t="shared" ca="1" si="18"/>
        <v>29</v>
      </c>
      <c r="E186">
        <f t="shared" ca="1" si="19"/>
        <v>29</v>
      </c>
      <c r="F186" s="26">
        <f t="shared" ca="1" si="20"/>
        <v>4557.446269496897</v>
      </c>
      <c r="G186" s="26">
        <f t="shared" ca="1" si="21"/>
        <v>4542.6580733670753</v>
      </c>
      <c r="H186" t="str">
        <f t="shared" ca="1" si="22"/>
        <v>Reactive</v>
      </c>
      <c r="I186" s="26">
        <f t="shared" ca="1" si="23"/>
        <v>14.788196129821699</v>
      </c>
    </row>
    <row r="187" spans="1:9" x14ac:dyDescent="0.2">
      <c r="A187">
        <v>184</v>
      </c>
      <c r="B187" s="30">
        <f t="shared" ca="1" si="16"/>
        <v>0.56346614135507533</v>
      </c>
      <c r="C187" t="b">
        <f t="shared" ca="1" si="17"/>
        <v>0</v>
      </c>
      <c r="D187">
        <f t="shared" ca="1" si="18"/>
        <v>30</v>
      </c>
      <c r="E187">
        <f t="shared" ca="1" si="19"/>
        <v>30</v>
      </c>
      <c r="F187" s="26">
        <f t="shared" ca="1" si="20"/>
        <v>4559.9033445782143</v>
      </c>
      <c r="G187" s="26">
        <f t="shared" ca="1" si="21"/>
        <v>4559.9389872205047</v>
      </c>
      <c r="H187" t="str">
        <f t="shared" ca="1" si="22"/>
        <v>Static</v>
      </c>
      <c r="I187" s="26">
        <f t="shared" ca="1" si="23"/>
        <v>-3.5642642290440563E-2</v>
      </c>
    </row>
    <row r="188" spans="1:9" x14ac:dyDescent="0.2">
      <c r="A188">
        <v>185</v>
      </c>
      <c r="B188" s="30">
        <f t="shared" ca="1" si="16"/>
        <v>0.83111735466543379</v>
      </c>
      <c r="C188" t="b">
        <f t="shared" ca="1" si="17"/>
        <v>0</v>
      </c>
      <c r="D188">
        <f t="shared" ca="1" si="18"/>
        <v>28</v>
      </c>
      <c r="E188">
        <f t="shared" ca="1" si="19"/>
        <v>30</v>
      </c>
      <c r="F188" s="26">
        <f t="shared" ca="1" si="20"/>
        <v>4560.2036378479461</v>
      </c>
      <c r="G188" s="26">
        <f t="shared" ca="1" si="21"/>
        <v>4559.283634553688</v>
      </c>
      <c r="H188" t="str">
        <f t="shared" ca="1" si="22"/>
        <v>Reactive</v>
      </c>
      <c r="I188" s="26">
        <f t="shared" ca="1" si="23"/>
        <v>0.92000329425809468</v>
      </c>
    </row>
    <row r="189" spans="1:9" x14ac:dyDescent="0.2">
      <c r="A189">
        <v>186</v>
      </c>
      <c r="B189" s="30">
        <f t="shared" ca="1" si="16"/>
        <v>2.8204862941152986E-2</v>
      </c>
      <c r="C189" t="b">
        <f t="shared" ca="1" si="17"/>
        <v>1</v>
      </c>
      <c r="D189">
        <f t="shared" ca="1" si="18"/>
        <v>29</v>
      </c>
      <c r="E189">
        <f t="shared" ca="1" si="19"/>
        <v>29</v>
      </c>
      <c r="F189" s="26">
        <f t="shared" ca="1" si="20"/>
        <v>4558.9223455251959</v>
      </c>
      <c r="G189" s="26">
        <f t="shared" ca="1" si="21"/>
        <v>4543.490393073308</v>
      </c>
      <c r="H189" t="str">
        <f t="shared" ca="1" si="22"/>
        <v>Reactive</v>
      </c>
      <c r="I189" s="26">
        <f t="shared" ca="1" si="23"/>
        <v>15.43195245188781</v>
      </c>
    </row>
    <row r="190" spans="1:9" x14ac:dyDescent="0.2">
      <c r="A190">
        <v>187</v>
      </c>
      <c r="B190" s="30">
        <f t="shared" ca="1" si="16"/>
        <v>0.79823500061597397</v>
      </c>
      <c r="C190" t="b">
        <f t="shared" ca="1" si="17"/>
        <v>0</v>
      </c>
      <c r="D190">
        <f t="shared" ca="1" si="18"/>
        <v>26</v>
      </c>
      <c r="E190">
        <f t="shared" ca="1" si="19"/>
        <v>30</v>
      </c>
      <c r="F190" s="26">
        <f t="shared" ca="1" si="20"/>
        <v>4559.8010245797859</v>
      </c>
      <c r="G190" s="26">
        <f t="shared" ca="1" si="21"/>
        <v>4560.004719267622</v>
      </c>
      <c r="H190" t="str">
        <f t="shared" ca="1" si="22"/>
        <v>Static</v>
      </c>
      <c r="I190" s="26">
        <f t="shared" ca="1" si="23"/>
        <v>-0.203694687836105</v>
      </c>
    </row>
    <row r="191" spans="1:9" x14ac:dyDescent="0.2">
      <c r="A191">
        <v>188</v>
      </c>
      <c r="B191" s="30">
        <f t="shared" ca="1" si="16"/>
        <v>0.50600043311934384</v>
      </c>
      <c r="C191" t="b">
        <f t="shared" ca="1" si="17"/>
        <v>0</v>
      </c>
      <c r="D191">
        <f t="shared" ca="1" si="18"/>
        <v>28</v>
      </c>
      <c r="E191">
        <f t="shared" ca="1" si="19"/>
        <v>30</v>
      </c>
      <c r="F191" s="26">
        <f t="shared" ca="1" si="20"/>
        <v>4558.1269663143694</v>
      </c>
      <c r="G191" s="26">
        <f t="shared" ca="1" si="21"/>
        <v>4561.3440665743137</v>
      </c>
      <c r="H191" t="str">
        <f t="shared" ca="1" si="22"/>
        <v>Static</v>
      </c>
      <c r="I191" s="26">
        <f t="shared" ca="1" si="23"/>
        <v>-3.2171002599443455</v>
      </c>
    </row>
    <row r="192" spans="1:9" x14ac:dyDescent="0.2">
      <c r="A192">
        <v>189</v>
      </c>
      <c r="B192" s="30">
        <f t="shared" ca="1" si="16"/>
        <v>0.48798128511364192</v>
      </c>
      <c r="C192" t="b">
        <f t="shared" ca="1" si="17"/>
        <v>0</v>
      </c>
      <c r="D192">
        <f t="shared" ca="1" si="18"/>
        <v>26</v>
      </c>
      <c r="E192">
        <f t="shared" ca="1" si="19"/>
        <v>30</v>
      </c>
      <c r="F192" s="26">
        <f t="shared" ca="1" si="20"/>
        <v>4560.0728211821424</v>
      </c>
      <c r="G192" s="26">
        <f t="shared" ca="1" si="21"/>
        <v>4561.5614557079907</v>
      </c>
      <c r="H192" t="str">
        <f t="shared" ca="1" si="22"/>
        <v>Static</v>
      </c>
      <c r="I192" s="26">
        <f t="shared" ca="1" si="23"/>
        <v>-1.4886345258482834</v>
      </c>
    </row>
    <row r="193" spans="1:9" x14ac:dyDescent="0.2">
      <c r="A193">
        <v>190</v>
      </c>
      <c r="B193" s="30">
        <f t="shared" ca="1" si="16"/>
        <v>0.33841609105602866</v>
      </c>
      <c r="C193" t="b">
        <f t="shared" ca="1" si="17"/>
        <v>1</v>
      </c>
      <c r="D193">
        <f t="shared" ca="1" si="18"/>
        <v>28</v>
      </c>
      <c r="E193">
        <f t="shared" ca="1" si="19"/>
        <v>28</v>
      </c>
      <c r="F193" s="26">
        <f t="shared" ca="1" si="20"/>
        <v>4558.0014072671338</v>
      </c>
      <c r="G193" s="26">
        <f t="shared" ca="1" si="21"/>
        <v>4544.201517748339</v>
      </c>
      <c r="H193" t="str">
        <f t="shared" ca="1" si="22"/>
        <v>Reactive</v>
      </c>
      <c r="I193" s="26">
        <f t="shared" ca="1" si="23"/>
        <v>13.799889518794771</v>
      </c>
    </row>
    <row r="194" spans="1:9" x14ac:dyDescent="0.2">
      <c r="A194">
        <v>191</v>
      </c>
      <c r="B194" s="30">
        <f t="shared" ca="1" si="16"/>
        <v>0.11158785334497279</v>
      </c>
      <c r="C194" t="b">
        <f t="shared" ca="1" si="17"/>
        <v>1</v>
      </c>
      <c r="D194">
        <f t="shared" ca="1" si="18"/>
        <v>26</v>
      </c>
      <c r="E194">
        <f t="shared" ca="1" si="19"/>
        <v>26</v>
      </c>
      <c r="F194" s="26">
        <f t="shared" ca="1" si="20"/>
        <v>4557.8781562146223</v>
      </c>
      <c r="G194" s="26">
        <f t="shared" ca="1" si="21"/>
        <v>4541.9056140440043</v>
      </c>
      <c r="H194" t="str">
        <f t="shared" ca="1" si="22"/>
        <v>Reactive</v>
      </c>
      <c r="I194" s="26">
        <f t="shared" ca="1" si="23"/>
        <v>15.972542170617999</v>
      </c>
    </row>
    <row r="195" spans="1:9" x14ac:dyDescent="0.2">
      <c r="A195">
        <v>192</v>
      </c>
      <c r="B195" s="30">
        <f t="shared" ca="1" si="16"/>
        <v>0.58993866993344979</v>
      </c>
      <c r="C195" t="b">
        <f t="shared" ca="1" si="17"/>
        <v>0</v>
      </c>
      <c r="D195">
        <f t="shared" ca="1" si="18"/>
        <v>27</v>
      </c>
      <c r="E195">
        <f t="shared" ca="1" si="19"/>
        <v>30</v>
      </c>
      <c r="F195" s="26">
        <f t="shared" ca="1" si="20"/>
        <v>4559.2035835910192</v>
      </c>
      <c r="G195" s="26">
        <f t="shared" ca="1" si="21"/>
        <v>4562.4726468472236</v>
      </c>
      <c r="H195" t="str">
        <f t="shared" ca="1" si="22"/>
        <v>Static</v>
      </c>
      <c r="I195" s="26">
        <f t="shared" ca="1" si="23"/>
        <v>-3.2690632562043902</v>
      </c>
    </row>
    <row r="196" spans="1:9" x14ac:dyDescent="0.2">
      <c r="A196">
        <v>193</v>
      </c>
      <c r="B196" s="30">
        <f t="shared" ref="B196:B259" ca="1" si="24">RAND()</f>
        <v>1.936903047265659E-2</v>
      </c>
      <c r="C196" t="b">
        <f t="shared" ref="C196:C259" ca="1" si="25">B196&lt;ProbSC</f>
        <v>1</v>
      </c>
      <c r="D196">
        <f t="shared" ref="D196:D259" ca="1" si="26">ReactMin+INT(RAND()*(ReactMax-ReactMin+1))</f>
        <v>28</v>
      </c>
      <c r="E196">
        <f t="shared" ref="E196:E259" ca="1" si="27">IF(C196,D196,MustLap)</f>
        <v>28</v>
      </c>
      <c r="F196" s="26">
        <f t="shared" ref="F196:F259" ca="1" si="28">BaseLap*Laps+Deg*(PlanLap*(PlanLap-1)/2+(Laps-PlanLap)*(Laps-PlanLap-1)/2)+PitGreen+NORMINV(RAND(),0,NoiseSD)</f>
        <v>4559.0046050239034</v>
      </c>
      <c r="G196" s="26">
        <f t="shared" ref="G196:G259" ca="1" si="29">BaseLap*Laps+Deg*(E196*(E196-1)/2+(Laps-E196)*(Laps-E196-1)/2)+IF(C196,PitSC,PitGreen)+NORMINV(RAND(),0,NoiseSD)</f>
        <v>4542.6481327856654</v>
      </c>
      <c r="H196" t="str">
        <f t="shared" ref="H196:H259" ca="1" si="30">IF(F196&lt;G196,"Static","Reactive")</f>
        <v>Reactive</v>
      </c>
      <c r="I196" s="26">
        <f t="shared" ref="I196:I259" ca="1" si="31">F196-G196</f>
        <v>16.356472238237984</v>
      </c>
    </row>
    <row r="197" spans="1:9" x14ac:dyDescent="0.2">
      <c r="A197">
        <v>194</v>
      </c>
      <c r="B197" s="30">
        <f t="shared" ca="1" si="24"/>
        <v>0.14190558908669959</v>
      </c>
      <c r="C197" t="b">
        <f t="shared" ca="1" si="25"/>
        <v>1</v>
      </c>
      <c r="D197">
        <f t="shared" ca="1" si="26"/>
        <v>26</v>
      </c>
      <c r="E197">
        <f t="shared" ca="1" si="27"/>
        <v>26</v>
      </c>
      <c r="F197" s="26">
        <f t="shared" ca="1" si="28"/>
        <v>4558.6835854924566</v>
      </c>
      <c r="G197" s="26">
        <f t="shared" ca="1" si="29"/>
        <v>4540.3933753676065</v>
      </c>
      <c r="H197" t="str">
        <f t="shared" ca="1" si="30"/>
        <v>Reactive</v>
      </c>
      <c r="I197" s="26">
        <f t="shared" ca="1" si="31"/>
        <v>18.290210124850091</v>
      </c>
    </row>
    <row r="198" spans="1:9" x14ac:dyDescent="0.2">
      <c r="A198">
        <v>195</v>
      </c>
      <c r="B198" s="30">
        <f t="shared" ca="1" si="24"/>
        <v>0.42518432546950002</v>
      </c>
      <c r="C198" t="b">
        <f t="shared" ca="1" si="25"/>
        <v>0</v>
      </c>
      <c r="D198">
        <f t="shared" ca="1" si="26"/>
        <v>26</v>
      </c>
      <c r="E198">
        <f t="shared" ca="1" si="27"/>
        <v>30</v>
      </c>
      <c r="F198" s="26">
        <f t="shared" ca="1" si="28"/>
        <v>4560.0330992936233</v>
      </c>
      <c r="G198" s="26">
        <f t="shared" ca="1" si="29"/>
        <v>4559.9582750711625</v>
      </c>
      <c r="H198" t="str">
        <f t="shared" ca="1" si="30"/>
        <v>Reactive</v>
      </c>
      <c r="I198" s="26">
        <f t="shared" ca="1" si="31"/>
        <v>7.4824222460847523E-2</v>
      </c>
    </row>
    <row r="199" spans="1:9" x14ac:dyDescent="0.2">
      <c r="A199">
        <v>196</v>
      </c>
      <c r="B199" s="30">
        <f t="shared" ca="1" si="24"/>
        <v>0.30589375717447465</v>
      </c>
      <c r="C199" t="b">
        <f t="shared" ca="1" si="25"/>
        <v>1</v>
      </c>
      <c r="D199">
        <f t="shared" ca="1" si="26"/>
        <v>29</v>
      </c>
      <c r="E199">
        <f t="shared" ca="1" si="27"/>
        <v>29</v>
      </c>
      <c r="F199" s="26">
        <f t="shared" ca="1" si="28"/>
        <v>4560.7906587598509</v>
      </c>
      <c r="G199" s="26">
        <f t="shared" ca="1" si="29"/>
        <v>4541.8421716640187</v>
      </c>
      <c r="H199" t="str">
        <f t="shared" ca="1" si="30"/>
        <v>Reactive</v>
      </c>
      <c r="I199" s="26">
        <f t="shared" ca="1" si="31"/>
        <v>18.948487095832206</v>
      </c>
    </row>
    <row r="200" spans="1:9" x14ac:dyDescent="0.2">
      <c r="A200">
        <v>197</v>
      </c>
      <c r="B200" s="30">
        <f t="shared" ca="1" si="24"/>
        <v>0.77082834678083312</v>
      </c>
      <c r="C200" t="b">
        <f t="shared" ca="1" si="25"/>
        <v>0</v>
      </c>
      <c r="D200">
        <f t="shared" ca="1" si="26"/>
        <v>30</v>
      </c>
      <c r="E200">
        <f t="shared" ca="1" si="27"/>
        <v>30</v>
      </c>
      <c r="F200" s="26">
        <f t="shared" ca="1" si="28"/>
        <v>4558.6936340508473</v>
      </c>
      <c r="G200" s="26">
        <f t="shared" ca="1" si="29"/>
        <v>4560.1709237081641</v>
      </c>
      <c r="H200" t="str">
        <f t="shared" ca="1" si="30"/>
        <v>Static</v>
      </c>
      <c r="I200" s="26">
        <f t="shared" ca="1" si="31"/>
        <v>-1.47728965731676</v>
      </c>
    </row>
    <row r="201" spans="1:9" x14ac:dyDescent="0.2">
      <c r="A201">
        <v>198</v>
      </c>
      <c r="B201" s="30">
        <f t="shared" ca="1" si="24"/>
        <v>0.37643475710350349</v>
      </c>
      <c r="C201" t="b">
        <f t="shared" ca="1" si="25"/>
        <v>0</v>
      </c>
      <c r="D201">
        <f t="shared" ca="1" si="26"/>
        <v>29</v>
      </c>
      <c r="E201">
        <f t="shared" ca="1" si="27"/>
        <v>30</v>
      </c>
      <c r="F201" s="26">
        <f t="shared" ca="1" si="28"/>
        <v>4557.0695686047447</v>
      </c>
      <c r="G201" s="26">
        <f t="shared" ca="1" si="29"/>
        <v>4560.773262835668</v>
      </c>
      <c r="H201" t="str">
        <f t="shared" ca="1" si="30"/>
        <v>Static</v>
      </c>
      <c r="I201" s="26">
        <f t="shared" ca="1" si="31"/>
        <v>-3.7036942309232472</v>
      </c>
    </row>
    <row r="202" spans="1:9" x14ac:dyDescent="0.2">
      <c r="A202">
        <v>199</v>
      </c>
      <c r="B202" s="30">
        <f t="shared" ca="1" si="24"/>
        <v>0.89753612337990518</v>
      </c>
      <c r="C202" t="b">
        <f t="shared" ca="1" si="25"/>
        <v>0</v>
      </c>
      <c r="D202">
        <f t="shared" ca="1" si="26"/>
        <v>29</v>
      </c>
      <c r="E202">
        <f t="shared" ca="1" si="27"/>
        <v>30</v>
      </c>
      <c r="F202" s="26">
        <f t="shared" ca="1" si="28"/>
        <v>4560.5483673001627</v>
      </c>
      <c r="G202" s="26">
        <f t="shared" ca="1" si="29"/>
        <v>4561.1489944366358</v>
      </c>
      <c r="H202" t="str">
        <f t="shared" ca="1" si="30"/>
        <v>Static</v>
      </c>
      <c r="I202" s="26">
        <f t="shared" ca="1" si="31"/>
        <v>-0.60062713647312194</v>
      </c>
    </row>
    <row r="203" spans="1:9" x14ac:dyDescent="0.2">
      <c r="A203">
        <v>200</v>
      </c>
      <c r="B203" s="30">
        <f t="shared" ca="1" si="24"/>
        <v>0.70870805237703038</v>
      </c>
      <c r="C203" t="b">
        <f t="shared" ca="1" si="25"/>
        <v>0</v>
      </c>
      <c r="D203">
        <f t="shared" ca="1" si="26"/>
        <v>27</v>
      </c>
      <c r="E203">
        <f t="shared" ca="1" si="27"/>
        <v>30</v>
      </c>
      <c r="F203" s="26">
        <f t="shared" ca="1" si="28"/>
        <v>4558.7749555364971</v>
      </c>
      <c r="G203" s="26">
        <f t="shared" ca="1" si="29"/>
        <v>4561.3330613806047</v>
      </c>
      <c r="H203" t="str">
        <f t="shared" ca="1" si="30"/>
        <v>Static</v>
      </c>
      <c r="I203" s="26">
        <f t="shared" ca="1" si="31"/>
        <v>-2.5581058441075584</v>
      </c>
    </row>
    <row r="204" spans="1:9" x14ac:dyDescent="0.2">
      <c r="A204">
        <v>201</v>
      </c>
      <c r="B204" s="30">
        <f t="shared" ca="1" si="24"/>
        <v>0.95038436499186374</v>
      </c>
      <c r="C204" t="b">
        <f t="shared" ca="1" si="25"/>
        <v>0</v>
      </c>
      <c r="D204">
        <f t="shared" ca="1" si="26"/>
        <v>30</v>
      </c>
      <c r="E204">
        <f t="shared" ca="1" si="27"/>
        <v>30</v>
      </c>
      <c r="F204" s="26">
        <f t="shared" ca="1" si="28"/>
        <v>4560.8903107822307</v>
      </c>
      <c r="G204" s="26">
        <f t="shared" ca="1" si="29"/>
        <v>4561.1782067493732</v>
      </c>
      <c r="H204" t="str">
        <f t="shared" ca="1" si="30"/>
        <v>Static</v>
      </c>
      <c r="I204" s="26">
        <f t="shared" ca="1" si="31"/>
        <v>-0.28789596714250365</v>
      </c>
    </row>
    <row r="205" spans="1:9" x14ac:dyDescent="0.2">
      <c r="A205">
        <v>202</v>
      </c>
      <c r="B205" s="30">
        <f t="shared" ca="1" si="24"/>
        <v>0.68636783621374708</v>
      </c>
      <c r="C205" t="b">
        <f t="shared" ca="1" si="25"/>
        <v>0</v>
      </c>
      <c r="D205">
        <f t="shared" ca="1" si="26"/>
        <v>30</v>
      </c>
      <c r="E205">
        <f t="shared" ca="1" si="27"/>
        <v>30</v>
      </c>
      <c r="F205" s="26">
        <f t="shared" ca="1" si="28"/>
        <v>4558.0469475822301</v>
      </c>
      <c r="G205" s="26">
        <f t="shared" ca="1" si="29"/>
        <v>4558.6505813944668</v>
      </c>
      <c r="H205" t="str">
        <f t="shared" ca="1" si="30"/>
        <v>Static</v>
      </c>
      <c r="I205" s="26">
        <f t="shared" ca="1" si="31"/>
        <v>-0.60363381223669421</v>
      </c>
    </row>
    <row r="206" spans="1:9" x14ac:dyDescent="0.2">
      <c r="A206">
        <v>203</v>
      </c>
      <c r="B206" s="30">
        <f t="shared" ca="1" si="24"/>
        <v>0.30517946542872054</v>
      </c>
      <c r="C206" t="b">
        <f t="shared" ca="1" si="25"/>
        <v>1</v>
      </c>
      <c r="D206">
        <f t="shared" ca="1" si="26"/>
        <v>28</v>
      </c>
      <c r="E206">
        <f t="shared" ca="1" si="27"/>
        <v>28</v>
      </c>
      <c r="F206" s="26">
        <f t="shared" ca="1" si="28"/>
        <v>4558.591779948486</v>
      </c>
      <c r="G206" s="26">
        <f t="shared" ca="1" si="29"/>
        <v>4540.8732854800737</v>
      </c>
      <c r="H206" t="str">
        <f t="shared" ca="1" si="30"/>
        <v>Reactive</v>
      </c>
      <c r="I206" s="26">
        <f t="shared" ca="1" si="31"/>
        <v>17.718494468412246</v>
      </c>
    </row>
    <row r="207" spans="1:9" x14ac:dyDescent="0.2">
      <c r="A207">
        <v>204</v>
      </c>
      <c r="B207" s="30">
        <f t="shared" ca="1" si="24"/>
        <v>0.89995072092544359</v>
      </c>
      <c r="C207" t="b">
        <f t="shared" ca="1" si="25"/>
        <v>0</v>
      </c>
      <c r="D207">
        <f t="shared" ca="1" si="26"/>
        <v>28</v>
      </c>
      <c r="E207">
        <f t="shared" ca="1" si="27"/>
        <v>30</v>
      </c>
      <c r="F207" s="26">
        <f t="shared" ca="1" si="28"/>
        <v>4557.5218975663638</v>
      </c>
      <c r="G207" s="26">
        <f t="shared" ca="1" si="29"/>
        <v>4559.7679948067407</v>
      </c>
      <c r="H207" t="str">
        <f t="shared" ca="1" si="30"/>
        <v>Static</v>
      </c>
      <c r="I207" s="26">
        <f t="shared" ca="1" si="31"/>
        <v>-2.2460972403769119</v>
      </c>
    </row>
    <row r="208" spans="1:9" x14ac:dyDescent="0.2">
      <c r="A208">
        <v>205</v>
      </c>
      <c r="B208" s="30">
        <f t="shared" ca="1" si="24"/>
        <v>0.54078444250794044</v>
      </c>
      <c r="C208" t="b">
        <f t="shared" ca="1" si="25"/>
        <v>0</v>
      </c>
      <c r="D208">
        <f t="shared" ca="1" si="26"/>
        <v>27</v>
      </c>
      <c r="E208">
        <f t="shared" ca="1" si="27"/>
        <v>30</v>
      </c>
      <c r="F208" s="26">
        <f t="shared" ca="1" si="28"/>
        <v>4559.4962804864654</v>
      </c>
      <c r="G208" s="26">
        <f t="shared" ca="1" si="29"/>
        <v>4559.6658399841281</v>
      </c>
      <c r="H208" t="str">
        <f t="shared" ca="1" si="30"/>
        <v>Static</v>
      </c>
      <c r="I208" s="26">
        <f t="shared" ca="1" si="31"/>
        <v>-0.16955949766270351</v>
      </c>
    </row>
    <row r="209" spans="1:9" x14ac:dyDescent="0.2">
      <c r="A209">
        <v>206</v>
      </c>
      <c r="B209" s="30">
        <f t="shared" ca="1" si="24"/>
        <v>0.34481064483415502</v>
      </c>
      <c r="C209" t="b">
        <f t="shared" ca="1" si="25"/>
        <v>1</v>
      </c>
      <c r="D209">
        <f t="shared" ca="1" si="26"/>
        <v>26</v>
      </c>
      <c r="E209">
        <f t="shared" ca="1" si="27"/>
        <v>26</v>
      </c>
      <c r="F209" s="26">
        <f t="shared" ca="1" si="28"/>
        <v>4558.945573507277</v>
      </c>
      <c r="G209" s="26">
        <f t="shared" ca="1" si="29"/>
        <v>4542.1853488672268</v>
      </c>
      <c r="H209" t="str">
        <f t="shared" ca="1" si="30"/>
        <v>Reactive</v>
      </c>
      <c r="I209" s="26">
        <f t="shared" ca="1" si="31"/>
        <v>16.760224640050183</v>
      </c>
    </row>
    <row r="210" spans="1:9" x14ac:dyDescent="0.2">
      <c r="A210">
        <v>207</v>
      </c>
      <c r="B210" s="30">
        <f t="shared" ca="1" si="24"/>
        <v>0.70323283360456212</v>
      </c>
      <c r="C210" t="b">
        <f t="shared" ca="1" si="25"/>
        <v>0</v>
      </c>
      <c r="D210">
        <f t="shared" ca="1" si="26"/>
        <v>29</v>
      </c>
      <c r="E210">
        <f t="shared" ca="1" si="27"/>
        <v>30</v>
      </c>
      <c r="F210" s="26">
        <f t="shared" ca="1" si="28"/>
        <v>4557.3027718571775</v>
      </c>
      <c r="G210" s="26">
        <f t="shared" ca="1" si="29"/>
        <v>4560.3979476148133</v>
      </c>
      <c r="H210" t="str">
        <f t="shared" ca="1" si="30"/>
        <v>Static</v>
      </c>
      <c r="I210" s="26">
        <f t="shared" ca="1" si="31"/>
        <v>-3.0951757576358432</v>
      </c>
    </row>
    <row r="211" spans="1:9" x14ac:dyDescent="0.2">
      <c r="A211">
        <v>208</v>
      </c>
      <c r="B211" s="30">
        <f t="shared" ca="1" si="24"/>
        <v>0.1894407003455888</v>
      </c>
      <c r="C211" t="b">
        <f t="shared" ca="1" si="25"/>
        <v>1</v>
      </c>
      <c r="D211">
        <f t="shared" ca="1" si="26"/>
        <v>29</v>
      </c>
      <c r="E211">
        <f t="shared" ca="1" si="27"/>
        <v>29</v>
      </c>
      <c r="F211" s="26">
        <f t="shared" ca="1" si="28"/>
        <v>4558.5437059435271</v>
      </c>
      <c r="G211" s="26">
        <f t="shared" ca="1" si="29"/>
        <v>4542.243544858381</v>
      </c>
      <c r="H211" t="str">
        <f t="shared" ca="1" si="30"/>
        <v>Reactive</v>
      </c>
      <c r="I211" s="26">
        <f t="shared" ca="1" si="31"/>
        <v>16.300161085146101</v>
      </c>
    </row>
    <row r="212" spans="1:9" x14ac:dyDescent="0.2">
      <c r="A212">
        <v>209</v>
      </c>
      <c r="B212" s="30">
        <f t="shared" ca="1" si="24"/>
        <v>0.56368993148470548</v>
      </c>
      <c r="C212" t="b">
        <f t="shared" ca="1" si="25"/>
        <v>0</v>
      </c>
      <c r="D212">
        <f t="shared" ca="1" si="26"/>
        <v>29</v>
      </c>
      <c r="E212">
        <f t="shared" ca="1" si="27"/>
        <v>30</v>
      </c>
      <c r="F212" s="26">
        <f t="shared" ca="1" si="28"/>
        <v>4559.7580774204544</v>
      </c>
      <c r="G212" s="26">
        <f t="shared" ca="1" si="29"/>
        <v>4561.4411110215342</v>
      </c>
      <c r="H212" t="str">
        <f t="shared" ca="1" si="30"/>
        <v>Static</v>
      </c>
      <c r="I212" s="26">
        <f t="shared" ca="1" si="31"/>
        <v>-1.6830336010798419</v>
      </c>
    </row>
    <row r="213" spans="1:9" x14ac:dyDescent="0.2">
      <c r="A213">
        <v>210</v>
      </c>
      <c r="B213" s="30">
        <f t="shared" ca="1" si="24"/>
        <v>0.99087668229890535</v>
      </c>
      <c r="C213" t="b">
        <f t="shared" ca="1" si="25"/>
        <v>0</v>
      </c>
      <c r="D213">
        <f t="shared" ca="1" si="26"/>
        <v>29</v>
      </c>
      <c r="E213">
        <f t="shared" ca="1" si="27"/>
        <v>30</v>
      </c>
      <c r="F213" s="26">
        <f t="shared" ca="1" si="28"/>
        <v>4559.5772780354509</v>
      </c>
      <c r="G213" s="26">
        <f t="shared" ca="1" si="29"/>
        <v>4560.7563960024108</v>
      </c>
      <c r="H213" t="str">
        <f t="shared" ca="1" si="30"/>
        <v>Static</v>
      </c>
      <c r="I213" s="26">
        <f t="shared" ca="1" si="31"/>
        <v>-1.1791179669598932</v>
      </c>
    </row>
    <row r="214" spans="1:9" x14ac:dyDescent="0.2">
      <c r="A214">
        <v>211</v>
      </c>
      <c r="B214" s="30">
        <f t="shared" ca="1" si="24"/>
        <v>0.66452498699047891</v>
      </c>
      <c r="C214" t="b">
        <f t="shared" ca="1" si="25"/>
        <v>0</v>
      </c>
      <c r="D214">
        <f t="shared" ca="1" si="26"/>
        <v>30</v>
      </c>
      <c r="E214">
        <f t="shared" ca="1" si="27"/>
        <v>30</v>
      </c>
      <c r="F214" s="26">
        <f t="shared" ca="1" si="28"/>
        <v>4559.3424661128693</v>
      </c>
      <c r="G214" s="26">
        <f t="shared" ca="1" si="29"/>
        <v>4560.9962284415269</v>
      </c>
      <c r="H214" t="str">
        <f t="shared" ca="1" si="30"/>
        <v>Static</v>
      </c>
      <c r="I214" s="26">
        <f t="shared" ca="1" si="31"/>
        <v>-1.6537623286576491</v>
      </c>
    </row>
    <row r="215" spans="1:9" x14ac:dyDescent="0.2">
      <c r="A215">
        <v>212</v>
      </c>
      <c r="B215" s="30">
        <f t="shared" ca="1" si="24"/>
        <v>0.38787567845844095</v>
      </c>
      <c r="C215" t="b">
        <f t="shared" ca="1" si="25"/>
        <v>0</v>
      </c>
      <c r="D215">
        <f t="shared" ca="1" si="26"/>
        <v>30</v>
      </c>
      <c r="E215">
        <f t="shared" ca="1" si="27"/>
        <v>30</v>
      </c>
      <c r="F215" s="26">
        <f t="shared" ca="1" si="28"/>
        <v>4560.6951649524963</v>
      </c>
      <c r="G215" s="26">
        <f t="shared" ca="1" si="29"/>
        <v>4557.9694610307879</v>
      </c>
      <c r="H215" t="str">
        <f t="shared" ca="1" si="30"/>
        <v>Reactive</v>
      </c>
      <c r="I215" s="26">
        <f t="shared" ca="1" si="31"/>
        <v>2.7257039217083729</v>
      </c>
    </row>
    <row r="216" spans="1:9" x14ac:dyDescent="0.2">
      <c r="A216">
        <v>213</v>
      </c>
      <c r="B216" s="30">
        <f t="shared" ca="1" si="24"/>
        <v>0.45135000263257252</v>
      </c>
      <c r="C216" t="b">
        <f t="shared" ca="1" si="25"/>
        <v>0</v>
      </c>
      <c r="D216">
        <f t="shared" ca="1" si="26"/>
        <v>30</v>
      </c>
      <c r="E216">
        <f t="shared" ca="1" si="27"/>
        <v>30</v>
      </c>
      <c r="F216" s="26">
        <f t="shared" ca="1" si="28"/>
        <v>4560.0369400315349</v>
      </c>
      <c r="G216" s="26">
        <f t="shared" ca="1" si="29"/>
        <v>4559.6437720542599</v>
      </c>
      <c r="H216" t="str">
        <f t="shared" ca="1" si="30"/>
        <v>Reactive</v>
      </c>
      <c r="I216" s="26">
        <f t="shared" ca="1" si="31"/>
        <v>0.39316797727497033</v>
      </c>
    </row>
    <row r="217" spans="1:9" x14ac:dyDescent="0.2">
      <c r="A217">
        <v>214</v>
      </c>
      <c r="B217" s="30">
        <f t="shared" ca="1" si="24"/>
        <v>0.53226198052895612</v>
      </c>
      <c r="C217" t="b">
        <f t="shared" ca="1" si="25"/>
        <v>0</v>
      </c>
      <c r="D217">
        <f t="shared" ca="1" si="26"/>
        <v>30</v>
      </c>
      <c r="E217">
        <f t="shared" ca="1" si="27"/>
        <v>30</v>
      </c>
      <c r="F217" s="26">
        <f t="shared" ca="1" si="28"/>
        <v>4558.9360999651708</v>
      </c>
      <c r="G217" s="26">
        <f t="shared" ca="1" si="29"/>
        <v>4559.7858143955491</v>
      </c>
      <c r="H217" t="str">
        <f t="shared" ca="1" si="30"/>
        <v>Static</v>
      </c>
      <c r="I217" s="26">
        <f t="shared" ca="1" si="31"/>
        <v>-0.84971443037829886</v>
      </c>
    </row>
    <row r="218" spans="1:9" x14ac:dyDescent="0.2">
      <c r="A218">
        <v>215</v>
      </c>
      <c r="B218" s="30">
        <f t="shared" ca="1" si="24"/>
        <v>0.34928468368812182</v>
      </c>
      <c r="C218" t="b">
        <f t="shared" ca="1" si="25"/>
        <v>1</v>
      </c>
      <c r="D218">
        <f t="shared" ca="1" si="26"/>
        <v>28</v>
      </c>
      <c r="E218">
        <f t="shared" ca="1" si="27"/>
        <v>28</v>
      </c>
      <c r="F218" s="26">
        <f t="shared" ca="1" si="28"/>
        <v>4558.7170707636897</v>
      </c>
      <c r="G218" s="26">
        <f t="shared" ca="1" si="29"/>
        <v>4543.4301314270297</v>
      </c>
      <c r="H218" t="str">
        <f t="shared" ca="1" si="30"/>
        <v>Reactive</v>
      </c>
      <c r="I218" s="26">
        <f t="shared" ca="1" si="31"/>
        <v>15.286939336659998</v>
      </c>
    </row>
    <row r="219" spans="1:9" x14ac:dyDescent="0.2">
      <c r="A219">
        <v>216</v>
      </c>
      <c r="B219" s="30">
        <f t="shared" ca="1" si="24"/>
        <v>2.6542554601547308E-2</v>
      </c>
      <c r="C219" t="b">
        <f t="shared" ca="1" si="25"/>
        <v>1</v>
      </c>
      <c r="D219">
        <f t="shared" ca="1" si="26"/>
        <v>26</v>
      </c>
      <c r="E219">
        <f t="shared" ca="1" si="27"/>
        <v>26</v>
      </c>
      <c r="F219" s="26">
        <f t="shared" ca="1" si="28"/>
        <v>4557.7642297914472</v>
      </c>
      <c r="G219" s="26">
        <f t="shared" ca="1" si="29"/>
        <v>4541.1616902288279</v>
      </c>
      <c r="H219" t="str">
        <f t="shared" ca="1" si="30"/>
        <v>Reactive</v>
      </c>
      <c r="I219" s="26">
        <f t="shared" ca="1" si="31"/>
        <v>16.602539562619313</v>
      </c>
    </row>
    <row r="220" spans="1:9" x14ac:dyDescent="0.2">
      <c r="A220">
        <v>217</v>
      </c>
      <c r="B220" s="30">
        <f t="shared" ca="1" si="24"/>
        <v>0.28612725222994562</v>
      </c>
      <c r="C220" t="b">
        <f t="shared" ca="1" si="25"/>
        <v>1</v>
      </c>
      <c r="D220">
        <f t="shared" ca="1" si="26"/>
        <v>28</v>
      </c>
      <c r="E220">
        <f t="shared" ca="1" si="27"/>
        <v>28</v>
      </c>
      <c r="F220" s="26">
        <f t="shared" ca="1" si="28"/>
        <v>4558.9708310591859</v>
      </c>
      <c r="G220" s="26">
        <f t="shared" ca="1" si="29"/>
        <v>4540.5748572479215</v>
      </c>
      <c r="H220" t="str">
        <f t="shared" ca="1" si="30"/>
        <v>Reactive</v>
      </c>
      <c r="I220" s="26">
        <f t="shared" ca="1" si="31"/>
        <v>18.395973811264412</v>
      </c>
    </row>
    <row r="221" spans="1:9" x14ac:dyDescent="0.2">
      <c r="A221">
        <v>218</v>
      </c>
      <c r="B221" s="30">
        <f t="shared" ca="1" si="24"/>
        <v>0.51417708840283205</v>
      </c>
      <c r="C221" t="b">
        <f t="shared" ca="1" si="25"/>
        <v>0</v>
      </c>
      <c r="D221">
        <f t="shared" ca="1" si="26"/>
        <v>28</v>
      </c>
      <c r="E221">
        <f t="shared" ca="1" si="27"/>
        <v>30</v>
      </c>
      <c r="F221" s="26">
        <f t="shared" ca="1" si="28"/>
        <v>4559.6309085140447</v>
      </c>
      <c r="G221" s="26">
        <f t="shared" ca="1" si="29"/>
        <v>4561.707516767071</v>
      </c>
      <c r="H221" t="str">
        <f t="shared" ca="1" si="30"/>
        <v>Static</v>
      </c>
      <c r="I221" s="26">
        <f t="shared" ca="1" si="31"/>
        <v>-2.0766082530262793</v>
      </c>
    </row>
    <row r="222" spans="1:9" x14ac:dyDescent="0.2">
      <c r="A222">
        <v>219</v>
      </c>
      <c r="B222" s="30">
        <f t="shared" ca="1" si="24"/>
        <v>0.51866813485153651</v>
      </c>
      <c r="C222" t="b">
        <f t="shared" ca="1" si="25"/>
        <v>0</v>
      </c>
      <c r="D222">
        <f t="shared" ca="1" si="26"/>
        <v>27</v>
      </c>
      <c r="E222">
        <f t="shared" ca="1" si="27"/>
        <v>30</v>
      </c>
      <c r="F222" s="26">
        <f t="shared" ca="1" si="28"/>
        <v>4557.8655958411591</v>
      </c>
      <c r="G222" s="26">
        <f t="shared" ca="1" si="29"/>
        <v>4561.6421102728145</v>
      </c>
      <c r="H222" t="str">
        <f t="shared" ca="1" si="30"/>
        <v>Static</v>
      </c>
      <c r="I222" s="26">
        <f t="shared" ca="1" si="31"/>
        <v>-3.7765144316554142</v>
      </c>
    </row>
    <row r="223" spans="1:9" x14ac:dyDescent="0.2">
      <c r="A223">
        <v>220</v>
      </c>
      <c r="B223" s="30">
        <f t="shared" ca="1" si="24"/>
        <v>0.61417674537343325</v>
      </c>
      <c r="C223" t="b">
        <f t="shared" ca="1" si="25"/>
        <v>0</v>
      </c>
      <c r="D223">
        <f t="shared" ca="1" si="26"/>
        <v>29</v>
      </c>
      <c r="E223">
        <f t="shared" ca="1" si="27"/>
        <v>30</v>
      </c>
      <c r="F223" s="26">
        <f t="shared" ca="1" si="28"/>
        <v>4559.340220964953</v>
      </c>
      <c r="G223" s="26">
        <f t="shared" ca="1" si="29"/>
        <v>4560.4692666473093</v>
      </c>
      <c r="H223" t="str">
        <f t="shared" ca="1" si="30"/>
        <v>Static</v>
      </c>
      <c r="I223" s="26">
        <f t="shared" ca="1" si="31"/>
        <v>-1.1290456823562636</v>
      </c>
    </row>
    <row r="224" spans="1:9" x14ac:dyDescent="0.2">
      <c r="A224">
        <v>221</v>
      </c>
      <c r="B224" s="30">
        <f t="shared" ca="1" si="24"/>
        <v>8.8753090523844835E-2</v>
      </c>
      <c r="C224" t="b">
        <f t="shared" ca="1" si="25"/>
        <v>1</v>
      </c>
      <c r="D224">
        <f t="shared" ca="1" si="26"/>
        <v>28</v>
      </c>
      <c r="E224">
        <f t="shared" ca="1" si="27"/>
        <v>28</v>
      </c>
      <c r="F224" s="26">
        <f t="shared" ca="1" si="28"/>
        <v>4559.4752881982031</v>
      </c>
      <c r="G224" s="26">
        <f t="shared" ca="1" si="29"/>
        <v>4542.8728535059699</v>
      </c>
      <c r="H224" t="str">
        <f t="shared" ca="1" si="30"/>
        <v>Reactive</v>
      </c>
      <c r="I224" s="26">
        <f t="shared" ca="1" si="31"/>
        <v>16.602434692233146</v>
      </c>
    </row>
    <row r="225" spans="1:9" x14ac:dyDescent="0.2">
      <c r="A225">
        <v>222</v>
      </c>
      <c r="B225" s="30">
        <f t="shared" ca="1" si="24"/>
        <v>0.77774772471257014</v>
      </c>
      <c r="C225" t="b">
        <f t="shared" ca="1" si="25"/>
        <v>0</v>
      </c>
      <c r="D225">
        <f t="shared" ca="1" si="26"/>
        <v>30</v>
      </c>
      <c r="E225">
        <f t="shared" ca="1" si="27"/>
        <v>30</v>
      </c>
      <c r="F225" s="26">
        <f t="shared" ca="1" si="28"/>
        <v>4559.0231080364829</v>
      </c>
      <c r="G225" s="26">
        <f t="shared" ca="1" si="29"/>
        <v>4560.2459416007023</v>
      </c>
      <c r="H225" t="str">
        <f t="shared" ca="1" si="30"/>
        <v>Static</v>
      </c>
      <c r="I225" s="26">
        <f t="shared" ca="1" si="31"/>
        <v>-1.2228335642193997</v>
      </c>
    </row>
    <row r="226" spans="1:9" x14ac:dyDescent="0.2">
      <c r="A226">
        <v>223</v>
      </c>
      <c r="B226" s="30">
        <f t="shared" ca="1" si="24"/>
        <v>0.16288858398124606</v>
      </c>
      <c r="C226" t="b">
        <f t="shared" ca="1" si="25"/>
        <v>1</v>
      </c>
      <c r="D226">
        <f t="shared" ca="1" si="26"/>
        <v>29</v>
      </c>
      <c r="E226">
        <f t="shared" ca="1" si="27"/>
        <v>29</v>
      </c>
      <c r="F226" s="26">
        <f t="shared" ca="1" si="28"/>
        <v>4560.4555173769304</v>
      </c>
      <c r="G226" s="26">
        <f t="shared" ca="1" si="29"/>
        <v>4544.6706052602403</v>
      </c>
      <c r="H226" t="str">
        <f t="shared" ca="1" si="30"/>
        <v>Reactive</v>
      </c>
      <c r="I226" s="26">
        <f t="shared" ca="1" si="31"/>
        <v>15.784912116690066</v>
      </c>
    </row>
    <row r="227" spans="1:9" x14ac:dyDescent="0.2">
      <c r="A227">
        <v>224</v>
      </c>
      <c r="B227" s="30">
        <f t="shared" ca="1" si="24"/>
        <v>0.6842440757595587</v>
      </c>
      <c r="C227" t="b">
        <f t="shared" ca="1" si="25"/>
        <v>0</v>
      </c>
      <c r="D227">
        <f t="shared" ca="1" si="26"/>
        <v>26</v>
      </c>
      <c r="E227">
        <f t="shared" ca="1" si="27"/>
        <v>30</v>
      </c>
      <c r="F227" s="26">
        <f t="shared" ca="1" si="28"/>
        <v>4559.1800362381109</v>
      </c>
      <c r="G227" s="26">
        <f t="shared" ca="1" si="29"/>
        <v>4560.3601751237593</v>
      </c>
      <c r="H227" t="str">
        <f t="shared" ca="1" si="30"/>
        <v>Static</v>
      </c>
      <c r="I227" s="26">
        <f t="shared" ca="1" si="31"/>
        <v>-1.1801388856483754</v>
      </c>
    </row>
    <row r="228" spans="1:9" x14ac:dyDescent="0.2">
      <c r="A228">
        <v>225</v>
      </c>
      <c r="B228" s="30">
        <f t="shared" ca="1" si="24"/>
        <v>0.45720585462637053</v>
      </c>
      <c r="C228" t="b">
        <f t="shared" ca="1" si="25"/>
        <v>0</v>
      </c>
      <c r="D228">
        <f t="shared" ca="1" si="26"/>
        <v>30</v>
      </c>
      <c r="E228">
        <f t="shared" ca="1" si="27"/>
        <v>30</v>
      </c>
      <c r="F228" s="26">
        <f t="shared" ca="1" si="28"/>
        <v>4559.6917102824136</v>
      </c>
      <c r="G228" s="26">
        <f t="shared" ca="1" si="29"/>
        <v>4560.6898352180579</v>
      </c>
      <c r="H228" t="str">
        <f t="shared" ca="1" si="30"/>
        <v>Static</v>
      </c>
      <c r="I228" s="26">
        <f t="shared" ca="1" si="31"/>
        <v>-0.99812493564422766</v>
      </c>
    </row>
    <row r="229" spans="1:9" x14ac:dyDescent="0.2">
      <c r="A229">
        <v>226</v>
      </c>
      <c r="B229" s="30">
        <f t="shared" ca="1" si="24"/>
        <v>3.2339228075585869E-2</v>
      </c>
      <c r="C229" t="b">
        <f t="shared" ca="1" si="25"/>
        <v>1</v>
      </c>
      <c r="D229">
        <f t="shared" ca="1" si="26"/>
        <v>28</v>
      </c>
      <c r="E229">
        <f t="shared" ca="1" si="27"/>
        <v>28</v>
      </c>
      <c r="F229" s="26">
        <f t="shared" ca="1" si="28"/>
        <v>4558.4589250829194</v>
      </c>
      <c r="G229" s="26">
        <f t="shared" ca="1" si="29"/>
        <v>4541.9268878080338</v>
      </c>
      <c r="H229" t="str">
        <f t="shared" ca="1" si="30"/>
        <v>Reactive</v>
      </c>
      <c r="I229" s="26">
        <f t="shared" ca="1" si="31"/>
        <v>16.532037274885624</v>
      </c>
    </row>
    <row r="230" spans="1:9" x14ac:dyDescent="0.2">
      <c r="A230">
        <v>227</v>
      </c>
      <c r="B230" s="30">
        <f t="shared" ca="1" si="24"/>
        <v>0.40296583608397318</v>
      </c>
      <c r="C230" t="b">
        <f t="shared" ca="1" si="25"/>
        <v>0</v>
      </c>
      <c r="D230">
        <f t="shared" ca="1" si="26"/>
        <v>30</v>
      </c>
      <c r="E230">
        <f t="shared" ca="1" si="27"/>
        <v>30</v>
      </c>
      <c r="F230" s="26">
        <f t="shared" ca="1" si="28"/>
        <v>4558.7437712719884</v>
      </c>
      <c r="G230" s="26">
        <f t="shared" ca="1" si="29"/>
        <v>4562.148228467182</v>
      </c>
      <c r="H230" t="str">
        <f t="shared" ca="1" si="30"/>
        <v>Static</v>
      </c>
      <c r="I230" s="26">
        <f t="shared" ca="1" si="31"/>
        <v>-3.4044571951935723</v>
      </c>
    </row>
    <row r="231" spans="1:9" x14ac:dyDescent="0.2">
      <c r="A231">
        <v>228</v>
      </c>
      <c r="B231" s="30">
        <f t="shared" ca="1" si="24"/>
        <v>0.49670679111961802</v>
      </c>
      <c r="C231" t="b">
        <f t="shared" ca="1" si="25"/>
        <v>0</v>
      </c>
      <c r="D231">
        <f t="shared" ca="1" si="26"/>
        <v>28</v>
      </c>
      <c r="E231">
        <f t="shared" ca="1" si="27"/>
        <v>30</v>
      </c>
      <c r="F231" s="26">
        <f t="shared" ca="1" si="28"/>
        <v>4559.5420583096256</v>
      </c>
      <c r="G231" s="26">
        <f t="shared" ca="1" si="29"/>
        <v>4560.4754215432686</v>
      </c>
      <c r="H231" t="str">
        <f t="shared" ca="1" si="30"/>
        <v>Static</v>
      </c>
      <c r="I231" s="26">
        <f t="shared" ca="1" si="31"/>
        <v>-0.93336323364292184</v>
      </c>
    </row>
    <row r="232" spans="1:9" x14ac:dyDescent="0.2">
      <c r="A232">
        <v>229</v>
      </c>
      <c r="B232" s="30">
        <f t="shared" ca="1" si="24"/>
        <v>0.87127313993808553</v>
      </c>
      <c r="C232" t="b">
        <f t="shared" ca="1" si="25"/>
        <v>0</v>
      </c>
      <c r="D232">
        <f t="shared" ca="1" si="26"/>
        <v>30</v>
      </c>
      <c r="E232">
        <f t="shared" ca="1" si="27"/>
        <v>30</v>
      </c>
      <c r="F232" s="26">
        <f t="shared" ca="1" si="28"/>
        <v>4560.1363265860373</v>
      </c>
      <c r="G232" s="26">
        <f t="shared" ca="1" si="29"/>
        <v>4561.0343649279084</v>
      </c>
      <c r="H232" t="str">
        <f t="shared" ca="1" si="30"/>
        <v>Static</v>
      </c>
      <c r="I232" s="26">
        <f t="shared" ca="1" si="31"/>
        <v>-0.89803834187114262</v>
      </c>
    </row>
    <row r="233" spans="1:9" x14ac:dyDescent="0.2">
      <c r="A233">
        <v>230</v>
      </c>
      <c r="B233" s="30">
        <f t="shared" ca="1" si="24"/>
        <v>0.79721016142206624</v>
      </c>
      <c r="C233" t="b">
        <f t="shared" ca="1" si="25"/>
        <v>0</v>
      </c>
      <c r="D233">
        <f t="shared" ca="1" si="26"/>
        <v>30</v>
      </c>
      <c r="E233">
        <f t="shared" ca="1" si="27"/>
        <v>30</v>
      </c>
      <c r="F233" s="26">
        <f t="shared" ca="1" si="28"/>
        <v>4558.8804281967941</v>
      </c>
      <c r="G233" s="26">
        <f t="shared" ca="1" si="29"/>
        <v>4559.3991794813828</v>
      </c>
      <c r="H233" t="str">
        <f t="shared" ca="1" si="30"/>
        <v>Static</v>
      </c>
      <c r="I233" s="26">
        <f t="shared" ca="1" si="31"/>
        <v>-0.51875128458868858</v>
      </c>
    </row>
    <row r="234" spans="1:9" x14ac:dyDescent="0.2">
      <c r="A234">
        <v>231</v>
      </c>
      <c r="B234" s="30">
        <f t="shared" ca="1" si="24"/>
        <v>7.8531454605008322E-2</v>
      </c>
      <c r="C234" t="b">
        <f t="shared" ca="1" si="25"/>
        <v>1</v>
      </c>
      <c r="D234">
        <f t="shared" ca="1" si="26"/>
        <v>29</v>
      </c>
      <c r="E234">
        <f t="shared" ca="1" si="27"/>
        <v>29</v>
      </c>
      <c r="F234" s="26">
        <f t="shared" ca="1" si="28"/>
        <v>4558.1407526936109</v>
      </c>
      <c r="G234" s="26">
        <f t="shared" ca="1" si="29"/>
        <v>4543.6810484795596</v>
      </c>
      <c r="H234" t="str">
        <f t="shared" ca="1" si="30"/>
        <v>Reactive</v>
      </c>
      <c r="I234" s="26">
        <f t="shared" ca="1" si="31"/>
        <v>14.459704214051271</v>
      </c>
    </row>
    <row r="235" spans="1:9" x14ac:dyDescent="0.2">
      <c r="A235">
        <v>232</v>
      </c>
      <c r="B235" s="30">
        <f t="shared" ca="1" si="24"/>
        <v>0.40416554978823205</v>
      </c>
      <c r="C235" t="b">
        <f t="shared" ca="1" si="25"/>
        <v>0</v>
      </c>
      <c r="D235">
        <f t="shared" ca="1" si="26"/>
        <v>26</v>
      </c>
      <c r="E235">
        <f t="shared" ca="1" si="27"/>
        <v>30</v>
      </c>
      <c r="F235" s="26">
        <f t="shared" ca="1" si="28"/>
        <v>4559.4513656384215</v>
      </c>
      <c r="G235" s="26">
        <f t="shared" ca="1" si="29"/>
        <v>4559.8654474642935</v>
      </c>
      <c r="H235" t="str">
        <f t="shared" ca="1" si="30"/>
        <v>Static</v>
      </c>
      <c r="I235" s="26">
        <f t="shared" ca="1" si="31"/>
        <v>-0.41408182587201736</v>
      </c>
    </row>
    <row r="236" spans="1:9" x14ac:dyDescent="0.2">
      <c r="A236">
        <v>233</v>
      </c>
      <c r="B236" s="30">
        <f t="shared" ca="1" si="24"/>
        <v>0.20941222086756173</v>
      </c>
      <c r="C236" t="b">
        <f t="shared" ca="1" si="25"/>
        <v>1</v>
      </c>
      <c r="D236">
        <f t="shared" ca="1" si="26"/>
        <v>26</v>
      </c>
      <c r="E236">
        <f t="shared" ca="1" si="27"/>
        <v>26</v>
      </c>
      <c r="F236" s="26">
        <f t="shared" ca="1" si="28"/>
        <v>4559.9674334007859</v>
      </c>
      <c r="G236" s="26">
        <f t="shared" ca="1" si="29"/>
        <v>4542.5858976032923</v>
      </c>
      <c r="H236" t="str">
        <f t="shared" ca="1" si="30"/>
        <v>Reactive</v>
      </c>
      <c r="I236" s="26">
        <f t="shared" ca="1" si="31"/>
        <v>17.381535797493598</v>
      </c>
    </row>
    <row r="237" spans="1:9" x14ac:dyDescent="0.2">
      <c r="A237">
        <v>234</v>
      </c>
      <c r="B237" s="30">
        <f t="shared" ca="1" si="24"/>
        <v>6.8774497821354585E-2</v>
      </c>
      <c r="C237" t="b">
        <f t="shared" ca="1" si="25"/>
        <v>1</v>
      </c>
      <c r="D237">
        <f t="shared" ca="1" si="26"/>
        <v>27</v>
      </c>
      <c r="E237">
        <f t="shared" ca="1" si="27"/>
        <v>27</v>
      </c>
      <c r="F237" s="26">
        <f t="shared" ca="1" si="28"/>
        <v>4559.1564904202669</v>
      </c>
      <c r="G237" s="26">
        <f t="shared" ca="1" si="29"/>
        <v>4541.2510985000472</v>
      </c>
      <c r="H237" t="str">
        <f t="shared" ca="1" si="30"/>
        <v>Reactive</v>
      </c>
      <c r="I237" s="26">
        <f t="shared" ca="1" si="31"/>
        <v>17.905391920219699</v>
      </c>
    </row>
    <row r="238" spans="1:9" x14ac:dyDescent="0.2">
      <c r="A238">
        <v>235</v>
      </c>
      <c r="B238" s="30">
        <f t="shared" ca="1" si="24"/>
        <v>0.8592781387131212</v>
      </c>
      <c r="C238" t="b">
        <f t="shared" ca="1" si="25"/>
        <v>0</v>
      </c>
      <c r="D238">
        <f t="shared" ca="1" si="26"/>
        <v>30</v>
      </c>
      <c r="E238">
        <f t="shared" ca="1" si="27"/>
        <v>30</v>
      </c>
      <c r="F238" s="26">
        <f t="shared" ca="1" si="28"/>
        <v>4557.7919647965773</v>
      </c>
      <c r="G238" s="26">
        <f t="shared" ca="1" si="29"/>
        <v>4557.6871618552068</v>
      </c>
      <c r="H238" t="str">
        <f t="shared" ca="1" si="30"/>
        <v>Reactive</v>
      </c>
      <c r="I238" s="26">
        <f t="shared" ca="1" si="31"/>
        <v>0.10480294137050805</v>
      </c>
    </row>
    <row r="239" spans="1:9" x14ac:dyDescent="0.2">
      <c r="A239">
        <v>236</v>
      </c>
      <c r="B239" s="30">
        <f t="shared" ca="1" si="24"/>
        <v>0.48877315455398596</v>
      </c>
      <c r="C239" t="b">
        <f t="shared" ca="1" si="25"/>
        <v>0</v>
      </c>
      <c r="D239">
        <f t="shared" ca="1" si="26"/>
        <v>26</v>
      </c>
      <c r="E239">
        <f t="shared" ca="1" si="27"/>
        <v>30</v>
      </c>
      <c r="F239" s="26">
        <f t="shared" ca="1" si="28"/>
        <v>4559.4232598111503</v>
      </c>
      <c r="G239" s="26">
        <f t="shared" ca="1" si="29"/>
        <v>4560.2673531314213</v>
      </c>
      <c r="H239" t="str">
        <f t="shared" ca="1" si="30"/>
        <v>Static</v>
      </c>
      <c r="I239" s="26">
        <f t="shared" ca="1" si="31"/>
        <v>-0.84409332027098571</v>
      </c>
    </row>
    <row r="240" spans="1:9" x14ac:dyDescent="0.2">
      <c r="A240">
        <v>237</v>
      </c>
      <c r="B240" s="30">
        <f t="shared" ca="1" si="24"/>
        <v>0.54301330865057162</v>
      </c>
      <c r="C240" t="b">
        <f t="shared" ca="1" si="25"/>
        <v>0</v>
      </c>
      <c r="D240">
        <f t="shared" ca="1" si="26"/>
        <v>29</v>
      </c>
      <c r="E240">
        <f t="shared" ca="1" si="27"/>
        <v>30</v>
      </c>
      <c r="F240" s="26">
        <f t="shared" ca="1" si="28"/>
        <v>4558.5269348336515</v>
      </c>
      <c r="G240" s="26">
        <f t="shared" ca="1" si="29"/>
        <v>4560.8669950348176</v>
      </c>
      <c r="H240" t="str">
        <f t="shared" ca="1" si="30"/>
        <v>Static</v>
      </c>
      <c r="I240" s="26">
        <f t="shared" ca="1" si="31"/>
        <v>-2.3400602011661249</v>
      </c>
    </row>
    <row r="241" spans="1:9" x14ac:dyDescent="0.2">
      <c r="A241">
        <v>238</v>
      </c>
      <c r="B241" s="30">
        <f t="shared" ca="1" si="24"/>
        <v>0.20473103521579139</v>
      </c>
      <c r="C241" t="b">
        <f t="shared" ca="1" si="25"/>
        <v>1</v>
      </c>
      <c r="D241">
        <f t="shared" ca="1" si="26"/>
        <v>30</v>
      </c>
      <c r="E241">
        <f t="shared" ca="1" si="27"/>
        <v>30</v>
      </c>
      <c r="F241" s="26">
        <f t="shared" ca="1" si="28"/>
        <v>4557.4594555553567</v>
      </c>
      <c r="G241" s="26">
        <f t="shared" ca="1" si="29"/>
        <v>4543.0248219203431</v>
      </c>
      <c r="H241" t="str">
        <f t="shared" ca="1" si="30"/>
        <v>Reactive</v>
      </c>
      <c r="I241" s="26">
        <f t="shared" ca="1" si="31"/>
        <v>14.434633635013597</v>
      </c>
    </row>
    <row r="242" spans="1:9" x14ac:dyDescent="0.2">
      <c r="A242">
        <v>239</v>
      </c>
      <c r="B242" s="30">
        <f t="shared" ca="1" si="24"/>
        <v>0.45359680811415615</v>
      </c>
      <c r="C242" t="b">
        <f t="shared" ca="1" si="25"/>
        <v>0</v>
      </c>
      <c r="D242">
        <f t="shared" ca="1" si="26"/>
        <v>29</v>
      </c>
      <c r="E242">
        <f t="shared" ca="1" si="27"/>
        <v>30</v>
      </c>
      <c r="F242" s="26">
        <f t="shared" ca="1" si="28"/>
        <v>4558.4363833490352</v>
      </c>
      <c r="G242" s="26">
        <f t="shared" ca="1" si="29"/>
        <v>4559.8355257709536</v>
      </c>
      <c r="H242" t="str">
        <f t="shared" ca="1" si="30"/>
        <v>Static</v>
      </c>
      <c r="I242" s="26">
        <f t="shared" ca="1" si="31"/>
        <v>-1.399142421918441</v>
      </c>
    </row>
    <row r="243" spans="1:9" x14ac:dyDescent="0.2">
      <c r="A243">
        <v>240</v>
      </c>
      <c r="B243" s="30">
        <f t="shared" ca="1" si="24"/>
        <v>0.70894718748885688</v>
      </c>
      <c r="C243" t="b">
        <f t="shared" ca="1" si="25"/>
        <v>0</v>
      </c>
      <c r="D243">
        <f t="shared" ca="1" si="26"/>
        <v>27</v>
      </c>
      <c r="E243">
        <f t="shared" ca="1" si="27"/>
        <v>30</v>
      </c>
      <c r="F243" s="26">
        <f t="shared" ca="1" si="28"/>
        <v>4558.5885004663296</v>
      </c>
      <c r="G243" s="26">
        <f t="shared" ca="1" si="29"/>
        <v>4559.8269445853075</v>
      </c>
      <c r="H243" t="str">
        <f t="shared" ca="1" si="30"/>
        <v>Static</v>
      </c>
      <c r="I243" s="26">
        <f t="shared" ca="1" si="31"/>
        <v>-1.2384441189778954</v>
      </c>
    </row>
    <row r="244" spans="1:9" x14ac:dyDescent="0.2">
      <c r="A244">
        <v>241</v>
      </c>
      <c r="B244" s="30">
        <f t="shared" ca="1" si="24"/>
        <v>8.5981796401539801E-2</v>
      </c>
      <c r="C244" t="b">
        <f t="shared" ca="1" si="25"/>
        <v>1</v>
      </c>
      <c r="D244">
        <f t="shared" ca="1" si="26"/>
        <v>26</v>
      </c>
      <c r="E244">
        <f t="shared" ca="1" si="27"/>
        <v>26</v>
      </c>
      <c r="F244" s="26">
        <f t="shared" ca="1" si="28"/>
        <v>4559.8882507934741</v>
      </c>
      <c r="G244" s="26">
        <f t="shared" ca="1" si="29"/>
        <v>4541.1437907828995</v>
      </c>
      <c r="H244" t="str">
        <f t="shared" ca="1" si="30"/>
        <v>Reactive</v>
      </c>
      <c r="I244" s="26">
        <f t="shared" ca="1" si="31"/>
        <v>18.744460010574585</v>
      </c>
    </row>
    <row r="245" spans="1:9" x14ac:dyDescent="0.2">
      <c r="A245">
        <v>242</v>
      </c>
      <c r="B245" s="30">
        <f t="shared" ca="1" si="24"/>
        <v>0.34094969159608912</v>
      </c>
      <c r="C245" t="b">
        <f t="shared" ca="1" si="25"/>
        <v>1</v>
      </c>
      <c r="D245">
        <f t="shared" ca="1" si="26"/>
        <v>30</v>
      </c>
      <c r="E245">
        <f t="shared" ca="1" si="27"/>
        <v>30</v>
      </c>
      <c r="F245" s="26">
        <f t="shared" ca="1" si="28"/>
        <v>4560.0680294316753</v>
      </c>
      <c r="G245" s="26">
        <f t="shared" ca="1" si="29"/>
        <v>4542.2767421169119</v>
      </c>
      <c r="H245" t="str">
        <f t="shared" ca="1" si="30"/>
        <v>Reactive</v>
      </c>
      <c r="I245" s="26">
        <f t="shared" ca="1" si="31"/>
        <v>17.791287314763395</v>
      </c>
    </row>
    <row r="246" spans="1:9" x14ac:dyDescent="0.2">
      <c r="A246">
        <v>243</v>
      </c>
      <c r="B246" s="30">
        <f t="shared" ca="1" si="24"/>
        <v>2.1905255086591913E-2</v>
      </c>
      <c r="C246" t="b">
        <f t="shared" ca="1" si="25"/>
        <v>1</v>
      </c>
      <c r="D246">
        <f t="shared" ca="1" si="26"/>
        <v>29</v>
      </c>
      <c r="E246">
        <f t="shared" ca="1" si="27"/>
        <v>29</v>
      </c>
      <c r="F246" s="26">
        <f t="shared" ca="1" si="28"/>
        <v>4558.4984613441375</v>
      </c>
      <c r="G246" s="26">
        <f t="shared" ca="1" si="29"/>
        <v>4543.3370047787976</v>
      </c>
      <c r="H246" t="str">
        <f t="shared" ca="1" si="30"/>
        <v>Reactive</v>
      </c>
      <c r="I246" s="26">
        <f t="shared" ca="1" si="31"/>
        <v>15.161456565339904</v>
      </c>
    </row>
    <row r="247" spans="1:9" x14ac:dyDescent="0.2">
      <c r="A247">
        <v>244</v>
      </c>
      <c r="B247" s="30">
        <f t="shared" ca="1" si="24"/>
        <v>0.12236406778726183</v>
      </c>
      <c r="C247" t="b">
        <f t="shared" ca="1" si="25"/>
        <v>1</v>
      </c>
      <c r="D247">
        <f t="shared" ca="1" si="26"/>
        <v>29</v>
      </c>
      <c r="E247">
        <f t="shared" ca="1" si="27"/>
        <v>29</v>
      </c>
      <c r="F247" s="26">
        <f t="shared" ca="1" si="28"/>
        <v>4559.3885663347501</v>
      </c>
      <c r="G247" s="26">
        <f t="shared" ca="1" si="29"/>
        <v>4542.4181795255045</v>
      </c>
      <c r="H247" t="str">
        <f t="shared" ca="1" si="30"/>
        <v>Reactive</v>
      </c>
      <c r="I247" s="26">
        <f t="shared" ca="1" si="31"/>
        <v>16.97038680924561</v>
      </c>
    </row>
    <row r="248" spans="1:9" x14ac:dyDescent="0.2">
      <c r="A248">
        <v>245</v>
      </c>
      <c r="B248" s="30">
        <f t="shared" ca="1" si="24"/>
        <v>0.83444534144737914</v>
      </c>
      <c r="C248" t="b">
        <f t="shared" ca="1" si="25"/>
        <v>0</v>
      </c>
      <c r="D248">
        <f t="shared" ca="1" si="26"/>
        <v>28</v>
      </c>
      <c r="E248">
        <f t="shared" ca="1" si="27"/>
        <v>30</v>
      </c>
      <c r="F248" s="26">
        <f t="shared" ca="1" si="28"/>
        <v>4557.1346021521176</v>
      </c>
      <c r="G248" s="26">
        <f t="shared" ca="1" si="29"/>
        <v>4561.0937909337808</v>
      </c>
      <c r="H248" t="str">
        <f t="shared" ca="1" si="30"/>
        <v>Static</v>
      </c>
      <c r="I248" s="26">
        <f t="shared" ca="1" si="31"/>
        <v>-3.9591887816632152</v>
      </c>
    </row>
    <row r="249" spans="1:9" x14ac:dyDescent="0.2">
      <c r="A249">
        <v>246</v>
      </c>
      <c r="B249" s="30">
        <f t="shared" ca="1" si="24"/>
        <v>0.72456444498521755</v>
      </c>
      <c r="C249" t="b">
        <f t="shared" ca="1" si="25"/>
        <v>0</v>
      </c>
      <c r="D249">
        <f t="shared" ca="1" si="26"/>
        <v>28</v>
      </c>
      <c r="E249">
        <f t="shared" ca="1" si="27"/>
        <v>30</v>
      </c>
      <c r="F249" s="26">
        <f t="shared" ca="1" si="28"/>
        <v>4559.7657856444894</v>
      </c>
      <c r="G249" s="26">
        <f t="shared" ca="1" si="29"/>
        <v>4561.0235886367946</v>
      </c>
      <c r="H249" t="str">
        <f t="shared" ca="1" si="30"/>
        <v>Static</v>
      </c>
      <c r="I249" s="26">
        <f t="shared" ca="1" si="31"/>
        <v>-1.2578029923051872</v>
      </c>
    </row>
    <row r="250" spans="1:9" x14ac:dyDescent="0.2">
      <c r="A250">
        <v>247</v>
      </c>
      <c r="B250" s="30">
        <f t="shared" ca="1" si="24"/>
        <v>9.3912675081213814E-2</v>
      </c>
      <c r="C250" t="b">
        <f t="shared" ca="1" si="25"/>
        <v>1</v>
      </c>
      <c r="D250">
        <f t="shared" ca="1" si="26"/>
        <v>27</v>
      </c>
      <c r="E250">
        <f t="shared" ca="1" si="27"/>
        <v>27</v>
      </c>
      <c r="F250" s="26">
        <f t="shared" ca="1" si="28"/>
        <v>4558.2960991300006</v>
      </c>
      <c r="G250" s="26">
        <f t="shared" ca="1" si="29"/>
        <v>4540.804790086233</v>
      </c>
      <c r="H250" t="str">
        <f t="shared" ca="1" si="30"/>
        <v>Reactive</v>
      </c>
      <c r="I250" s="26">
        <f t="shared" ca="1" si="31"/>
        <v>17.491309043767615</v>
      </c>
    </row>
    <row r="251" spans="1:9" x14ac:dyDescent="0.2">
      <c r="A251">
        <v>248</v>
      </c>
      <c r="B251" s="30">
        <f t="shared" ca="1" si="24"/>
        <v>0.26651465073817093</v>
      </c>
      <c r="C251" t="b">
        <f t="shared" ca="1" si="25"/>
        <v>1</v>
      </c>
      <c r="D251">
        <f t="shared" ca="1" si="26"/>
        <v>28</v>
      </c>
      <c r="E251">
        <f t="shared" ca="1" si="27"/>
        <v>28</v>
      </c>
      <c r="F251" s="26">
        <f t="shared" ca="1" si="28"/>
        <v>4558.5308389343945</v>
      </c>
      <c r="G251" s="26">
        <f t="shared" ca="1" si="29"/>
        <v>4542.1974295200071</v>
      </c>
      <c r="H251" t="str">
        <f t="shared" ca="1" si="30"/>
        <v>Reactive</v>
      </c>
      <c r="I251" s="26">
        <f t="shared" ca="1" si="31"/>
        <v>16.333409414387461</v>
      </c>
    </row>
    <row r="252" spans="1:9" x14ac:dyDescent="0.2">
      <c r="A252">
        <v>249</v>
      </c>
      <c r="B252" s="30">
        <f t="shared" ca="1" si="24"/>
        <v>0.78705787022279772</v>
      </c>
      <c r="C252" t="b">
        <f t="shared" ca="1" si="25"/>
        <v>0</v>
      </c>
      <c r="D252">
        <f t="shared" ca="1" si="26"/>
        <v>29</v>
      </c>
      <c r="E252">
        <f t="shared" ca="1" si="27"/>
        <v>30</v>
      </c>
      <c r="F252" s="26">
        <f t="shared" ca="1" si="28"/>
        <v>4558.7280167050812</v>
      </c>
      <c r="G252" s="26">
        <f t="shared" ca="1" si="29"/>
        <v>4562.1339274597103</v>
      </c>
      <c r="H252" t="str">
        <f t="shared" ca="1" si="30"/>
        <v>Static</v>
      </c>
      <c r="I252" s="26">
        <f t="shared" ca="1" si="31"/>
        <v>-3.4059107546290761</v>
      </c>
    </row>
    <row r="253" spans="1:9" x14ac:dyDescent="0.2">
      <c r="A253">
        <v>250</v>
      </c>
      <c r="B253" s="30">
        <f t="shared" ca="1" si="24"/>
        <v>0.65433104483678017</v>
      </c>
      <c r="C253" t="b">
        <f t="shared" ca="1" si="25"/>
        <v>0</v>
      </c>
      <c r="D253">
        <f t="shared" ca="1" si="26"/>
        <v>27</v>
      </c>
      <c r="E253">
        <f t="shared" ca="1" si="27"/>
        <v>30</v>
      </c>
      <c r="F253" s="26">
        <f t="shared" ca="1" si="28"/>
        <v>4558.4286644833401</v>
      </c>
      <c r="G253" s="26">
        <f t="shared" ca="1" si="29"/>
        <v>4560.4181975704496</v>
      </c>
      <c r="H253" t="str">
        <f t="shared" ca="1" si="30"/>
        <v>Static</v>
      </c>
      <c r="I253" s="26">
        <f t="shared" ca="1" si="31"/>
        <v>-1.9895330871095211</v>
      </c>
    </row>
    <row r="254" spans="1:9" x14ac:dyDescent="0.2">
      <c r="A254">
        <v>251</v>
      </c>
      <c r="B254" s="30">
        <f t="shared" ca="1" si="24"/>
        <v>0.53989467195892837</v>
      </c>
      <c r="C254" t="b">
        <f t="shared" ca="1" si="25"/>
        <v>0</v>
      </c>
      <c r="D254">
        <f t="shared" ca="1" si="26"/>
        <v>28</v>
      </c>
      <c r="E254">
        <f t="shared" ca="1" si="27"/>
        <v>30</v>
      </c>
      <c r="F254" s="26">
        <f t="shared" ca="1" si="28"/>
        <v>4559.4178497677021</v>
      </c>
      <c r="G254" s="26">
        <f t="shared" ca="1" si="29"/>
        <v>4560.9029570580706</v>
      </c>
      <c r="H254" t="str">
        <f t="shared" ca="1" si="30"/>
        <v>Static</v>
      </c>
      <c r="I254" s="26">
        <f t="shared" ca="1" si="31"/>
        <v>-1.4851072903684326</v>
      </c>
    </row>
    <row r="255" spans="1:9" x14ac:dyDescent="0.2">
      <c r="A255">
        <v>252</v>
      </c>
      <c r="B255" s="30">
        <f t="shared" ca="1" si="24"/>
        <v>0.8351199351780787</v>
      </c>
      <c r="C255" t="b">
        <f t="shared" ca="1" si="25"/>
        <v>0</v>
      </c>
      <c r="D255">
        <f t="shared" ca="1" si="26"/>
        <v>29</v>
      </c>
      <c r="E255">
        <f t="shared" ca="1" si="27"/>
        <v>30</v>
      </c>
      <c r="F255" s="26">
        <f t="shared" ca="1" si="28"/>
        <v>4557.4627163759269</v>
      </c>
      <c r="G255" s="26">
        <f t="shared" ca="1" si="29"/>
        <v>4562.5787833132854</v>
      </c>
      <c r="H255" t="str">
        <f t="shared" ca="1" si="30"/>
        <v>Static</v>
      </c>
      <c r="I255" s="26">
        <f t="shared" ca="1" si="31"/>
        <v>-5.1160669373584824</v>
      </c>
    </row>
    <row r="256" spans="1:9" x14ac:dyDescent="0.2">
      <c r="A256">
        <v>253</v>
      </c>
      <c r="B256" s="30">
        <f t="shared" ca="1" si="24"/>
        <v>0.94228781100995229</v>
      </c>
      <c r="C256" t="b">
        <f t="shared" ca="1" si="25"/>
        <v>0</v>
      </c>
      <c r="D256">
        <f t="shared" ca="1" si="26"/>
        <v>30</v>
      </c>
      <c r="E256">
        <f t="shared" ca="1" si="27"/>
        <v>30</v>
      </c>
      <c r="F256" s="26">
        <f t="shared" ca="1" si="28"/>
        <v>4560.0019333457576</v>
      </c>
      <c r="G256" s="26">
        <f t="shared" ca="1" si="29"/>
        <v>4560.1477042839388</v>
      </c>
      <c r="H256" t="str">
        <f t="shared" ca="1" si="30"/>
        <v>Static</v>
      </c>
      <c r="I256" s="26">
        <f t="shared" ca="1" si="31"/>
        <v>-0.14577093818115827</v>
      </c>
    </row>
    <row r="257" spans="1:9" x14ac:dyDescent="0.2">
      <c r="A257">
        <v>254</v>
      </c>
      <c r="B257" s="30">
        <f t="shared" ca="1" si="24"/>
        <v>0.1430897670346829</v>
      </c>
      <c r="C257" t="b">
        <f t="shared" ca="1" si="25"/>
        <v>1</v>
      </c>
      <c r="D257">
        <f t="shared" ca="1" si="26"/>
        <v>26</v>
      </c>
      <c r="E257">
        <f t="shared" ca="1" si="27"/>
        <v>26</v>
      </c>
      <c r="F257" s="26">
        <f t="shared" ca="1" si="28"/>
        <v>4559.7829896252761</v>
      </c>
      <c r="G257" s="26">
        <f t="shared" ca="1" si="29"/>
        <v>4541.2715196014087</v>
      </c>
      <c r="H257" t="str">
        <f t="shared" ca="1" si="30"/>
        <v>Reactive</v>
      </c>
      <c r="I257" s="26">
        <f t="shared" ca="1" si="31"/>
        <v>18.511470023867332</v>
      </c>
    </row>
    <row r="258" spans="1:9" x14ac:dyDescent="0.2">
      <c r="A258">
        <v>255</v>
      </c>
      <c r="B258" s="30">
        <f t="shared" ca="1" si="24"/>
        <v>0.40733045405022783</v>
      </c>
      <c r="C258" t="b">
        <f t="shared" ca="1" si="25"/>
        <v>0</v>
      </c>
      <c r="D258">
        <f t="shared" ca="1" si="26"/>
        <v>26</v>
      </c>
      <c r="E258">
        <f t="shared" ca="1" si="27"/>
        <v>30</v>
      </c>
      <c r="F258" s="26">
        <f t="shared" ca="1" si="28"/>
        <v>4558.2972961955147</v>
      </c>
      <c r="G258" s="26">
        <f t="shared" ca="1" si="29"/>
        <v>4561.786395549696</v>
      </c>
      <c r="H258" t="str">
        <f t="shared" ca="1" si="30"/>
        <v>Static</v>
      </c>
      <c r="I258" s="26">
        <f t="shared" ca="1" si="31"/>
        <v>-3.489099354181235</v>
      </c>
    </row>
    <row r="259" spans="1:9" x14ac:dyDescent="0.2">
      <c r="A259">
        <v>256</v>
      </c>
      <c r="B259" s="30">
        <f t="shared" ca="1" si="24"/>
        <v>0.78413398519827593</v>
      </c>
      <c r="C259" t="b">
        <f t="shared" ca="1" si="25"/>
        <v>0</v>
      </c>
      <c r="D259">
        <f t="shared" ca="1" si="26"/>
        <v>27</v>
      </c>
      <c r="E259">
        <f t="shared" ca="1" si="27"/>
        <v>30</v>
      </c>
      <c r="F259" s="26">
        <f t="shared" ca="1" si="28"/>
        <v>4557.4424288034952</v>
      </c>
      <c r="G259" s="26">
        <f t="shared" ca="1" si="29"/>
        <v>4561.3355960032241</v>
      </c>
      <c r="H259" t="str">
        <f t="shared" ca="1" si="30"/>
        <v>Static</v>
      </c>
      <c r="I259" s="26">
        <f t="shared" ca="1" si="31"/>
        <v>-3.8931671997288504</v>
      </c>
    </row>
    <row r="260" spans="1:9" x14ac:dyDescent="0.2">
      <c r="A260">
        <v>257</v>
      </c>
      <c r="B260" s="30">
        <f t="shared" ref="B260:B323" ca="1" si="32">RAND()</f>
        <v>0.35632805732575623</v>
      </c>
      <c r="C260" t="b">
        <f t="shared" ref="C260:C323" ca="1" si="33">B260&lt;ProbSC</f>
        <v>0</v>
      </c>
      <c r="D260">
        <f t="shared" ref="D260:D323" ca="1" si="34">ReactMin+INT(RAND()*(ReactMax-ReactMin+1))</f>
        <v>30</v>
      </c>
      <c r="E260">
        <f t="shared" ref="E260:E323" ca="1" si="35">IF(C260,D260,MustLap)</f>
        <v>30</v>
      </c>
      <c r="F260" s="26">
        <f t="shared" ref="F260:F323" ca="1" si="36">BaseLap*Laps+Deg*(PlanLap*(PlanLap-1)/2+(Laps-PlanLap)*(Laps-PlanLap-1)/2)+PitGreen+NORMINV(RAND(),0,NoiseSD)</f>
        <v>4558.8601313128311</v>
      </c>
      <c r="G260" s="26">
        <f t="shared" ref="G260:G323" ca="1" si="37">BaseLap*Laps+Deg*(E260*(E260-1)/2+(Laps-E260)*(Laps-E260-1)/2)+IF(C260,PitSC,PitGreen)+NORMINV(RAND(),0,NoiseSD)</f>
        <v>4559.7902589509795</v>
      </c>
      <c r="H260" t="str">
        <f t="shared" ref="H260:H323" ca="1" si="38">IF(F260&lt;G260,"Static","Reactive")</f>
        <v>Static</v>
      </c>
      <c r="I260" s="26">
        <f t="shared" ref="I260:I323" ca="1" si="39">F260-G260</f>
        <v>-0.93012763814840582</v>
      </c>
    </row>
    <row r="261" spans="1:9" x14ac:dyDescent="0.2">
      <c r="A261">
        <v>258</v>
      </c>
      <c r="B261" s="30">
        <f t="shared" ca="1" si="32"/>
        <v>0.98977104375997316</v>
      </c>
      <c r="C261" t="b">
        <f t="shared" ca="1" si="33"/>
        <v>0</v>
      </c>
      <c r="D261">
        <f t="shared" ca="1" si="34"/>
        <v>29</v>
      </c>
      <c r="E261">
        <f t="shared" ca="1" si="35"/>
        <v>30</v>
      </c>
      <c r="F261" s="26">
        <f t="shared" ca="1" si="36"/>
        <v>4559.407676792217</v>
      </c>
      <c r="G261" s="26">
        <f t="shared" ca="1" si="37"/>
        <v>4560.1597036690255</v>
      </c>
      <c r="H261" t="str">
        <f t="shared" ca="1" si="38"/>
        <v>Static</v>
      </c>
      <c r="I261" s="26">
        <f t="shared" ca="1" si="39"/>
        <v>-0.75202687680848612</v>
      </c>
    </row>
    <row r="262" spans="1:9" x14ac:dyDescent="0.2">
      <c r="A262">
        <v>259</v>
      </c>
      <c r="B262" s="30">
        <f t="shared" ca="1" si="32"/>
        <v>0.36867521830648664</v>
      </c>
      <c r="C262" t="b">
        <f t="shared" ca="1" si="33"/>
        <v>0</v>
      </c>
      <c r="D262">
        <f t="shared" ca="1" si="34"/>
        <v>30</v>
      </c>
      <c r="E262">
        <f t="shared" ca="1" si="35"/>
        <v>30</v>
      </c>
      <c r="F262" s="26">
        <f t="shared" ca="1" si="36"/>
        <v>4559.8812616214736</v>
      </c>
      <c r="G262" s="26">
        <f t="shared" ca="1" si="37"/>
        <v>4560.03496127364</v>
      </c>
      <c r="H262" t="str">
        <f t="shared" ca="1" si="38"/>
        <v>Static</v>
      </c>
      <c r="I262" s="26">
        <f t="shared" ca="1" si="39"/>
        <v>-0.15369965216632409</v>
      </c>
    </row>
    <row r="263" spans="1:9" x14ac:dyDescent="0.2">
      <c r="A263">
        <v>260</v>
      </c>
      <c r="B263" s="30">
        <f t="shared" ca="1" si="32"/>
        <v>0.31051667457334153</v>
      </c>
      <c r="C263" t="b">
        <f t="shared" ca="1" si="33"/>
        <v>1</v>
      </c>
      <c r="D263">
        <f t="shared" ca="1" si="34"/>
        <v>29</v>
      </c>
      <c r="E263">
        <f t="shared" ca="1" si="35"/>
        <v>29</v>
      </c>
      <c r="F263" s="26">
        <f t="shared" ca="1" si="36"/>
        <v>4559.8246175621962</v>
      </c>
      <c r="G263" s="26">
        <f t="shared" ca="1" si="37"/>
        <v>4541.1972320059022</v>
      </c>
      <c r="H263" t="str">
        <f t="shared" ca="1" si="38"/>
        <v>Reactive</v>
      </c>
      <c r="I263" s="26">
        <f t="shared" ca="1" si="39"/>
        <v>18.62738555629403</v>
      </c>
    </row>
    <row r="264" spans="1:9" x14ac:dyDescent="0.2">
      <c r="A264">
        <v>261</v>
      </c>
      <c r="B264" s="30">
        <f t="shared" ca="1" si="32"/>
        <v>0.68426768309391639</v>
      </c>
      <c r="C264" t="b">
        <f t="shared" ca="1" si="33"/>
        <v>0</v>
      </c>
      <c r="D264">
        <f t="shared" ca="1" si="34"/>
        <v>27</v>
      </c>
      <c r="E264">
        <f t="shared" ca="1" si="35"/>
        <v>30</v>
      </c>
      <c r="F264" s="26">
        <f t="shared" ca="1" si="36"/>
        <v>4559.7410264042055</v>
      </c>
      <c r="G264" s="26">
        <f t="shared" ca="1" si="37"/>
        <v>4561.2603314872622</v>
      </c>
      <c r="H264" t="str">
        <f t="shared" ca="1" si="38"/>
        <v>Static</v>
      </c>
      <c r="I264" s="26">
        <f t="shared" ca="1" si="39"/>
        <v>-1.519305083056679</v>
      </c>
    </row>
    <row r="265" spans="1:9" x14ac:dyDescent="0.2">
      <c r="A265">
        <v>262</v>
      </c>
      <c r="B265" s="30">
        <f t="shared" ca="1" si="32"/>
        <v>0.70372194451908454</v>
      </c>
      <c r="C265" t="b">
        <f t="shared" ca="1" si="33"/>
        <v>0</v>
      </c>
      <c r="D265">
        <f t="shared" ca="1" si="34"/>
        <v>29</v>
      </c>
      <c r="E265">
        <f t="shared" ca="1" si="35"/>
        <v>30</v>
      </c>
      <c r="F265" s="26">
        <f t="shared" ca="1" si="36"/>
        <v>4557.6077640377816</v>
      </c>
      <c r="G265" s="26">
        <f t="shared" ca="1" si="37"/>
        <v>4559.7557650425388</v>
      </c>
      <c r="H265" t="str">
        <f t="shared" ca="1" si="38"/>
        <v>Static</v>
      </c>
      <c r="I265" s="26">
        <f t="shared" ca="1" si="39"/>
        <v>-2.1480010047571341</v>
      </c>
    </row>
    <row r="266" spans="1:9" x14ac:dyDescent="0.2">
      <c r="A266">
        <v>263</v>
      </c>
      <c r="B266" s="30">
        <f t="shared" ca="1" si="32"/>
        <v>0.68217598780360567</v>
      </c>
      <c r="C266" t="b">
        <f t="shared" ca="1" si="33"/>
        <v>0</v>
      </c>
      <c r="D266">
        <f t="shared" ca="1" si="34"/>
        <v>30</v>
      </c>
      <c r="E266">
        <f t="shared" ca="1" si="35"/>
        <v>30</v>
      </c>
      <c r="F266" s="26">
        <f t="shared" ca="1" si="36"/>
        <v>4557.6049303965992</v>
      </c>
      <c r="G266" s="26">
        <f t="shared" ca="1" si="37"/>
        <v>4561.730537994782</v>
      </c>
      <c r="H266" t="str">
        <f t="shared" ca="1" si="38"/>
        <v>Static</v>
      </c>
      <c r="I266" s="26">
        <f t="shared" ca="1" si="39"/>
        <v>-4.1256075981827962</v>
      </c>
    </row>
    <row r="267" spans="1:9" x14ac:dyDescent="0.2">
      <c r="A267">
        <v>264</v>
      </c>
      <c r="B267" s="30">
        <f t="shared" ca="1" si="32"/>
        <v>0.28248427993264502</v>
      </c>
      <c r="C267" t="b">
        <f t="shared" ca="1" si="33"/>
        <v>1</v>
      </c>
      <c r="D267">
        <f t="shared" ca="1" si="34"/>
        <v>27</v>
      </c>
      <c r="E267">
        <f t="shared" ca="1" si="35"/>
        <v>27</v>
      </c>
      <c r="F267" s="26">
        <f t="shared" ca="1" si="36"/>
        <v>4558.7993935603308</v>
      </c>
      <c r="G267" s="26">
        <f t="shared" ca="1" si="37"/>
        <v>4542.4501087519729</v>
      </c>
      <c r="H267" t="str">
        <f t="shared" ca="1" si="38"/>
        <v>Reactive</v>
      </c>
      <c r="I267" s="26">
        <f t="shared" ca="1" si="39"/>
        <v>16.349284808357879</v>
      </c>
    </row>
    <row r="268" spans="1:9" x14ac:dyDescent="0.2">
      <c r="A268">
        <v>265</v>
      </c>
      <c r="B268" s="30">
        <f t="shared" ca="1" si="32"/>
        <v>0.99705492652645411</v>
      </c>
      <c r="C268" t="b">
        <f t="shared" ca="1" si="33"/>
        <v>0</v>
      </c>
      <c r="D268">
        <f t="shared" ca="1" si="34"/>
        <v>28</v>
      </c>
      <c r="E268">
        <f t="shared" ca="1" si="35"/>
        <v>30</v>
      </c>
      <c r="F268" s="26">
        <f t="shared" ca="1" si="36"/>
        <v>4557.3952485591499</v>
      </c>
      <c r="G268" s="26">
        <f t="shared" ca="1" si="37"/>
        <v>4562.2308688881985</v>
      </c>
      <c r="H268" t="str">
        <f t="shared" ca="1" si="38"/>
        <v>Static</v>
      </c>
      <c r="I268" s="26">
        <f t="shared" ca="1" si="39"/>
        <v>-4.8356203290486519</v>
      </c>
    </row>
    <row r="269" spans="1:9" x14ac:dyDescent="0.2">
      <c r="A269">
        <v>266</v>
      </c>
      <c r="B269" s="30">
        <f t="shared" ca="1" si="32"/>
        <v>0.85100884178574809</v>
      </c>
      <c r="C269" t="b">
        <f t="shared" ca="1" si="33"/>
        <v>0</v>
      </c>
      <c r="D269">
        <f t="shared" ca="1" si="34"/>
        <v>26</v>
      </c>
      <c r="E269">
        <f t="shared" ca="1" si="35"/>
        <v>30</v>
      </c>
      <c r="F269" s="26">
        <f t="shared" ca="1" si="36"/>
        <v>4556.6416490245756</v>
      </c>
      <c r="G269" s="26">
        <f t="shared" ca="1" si="37"/>
        <v>4562.3644818006696</v>
      </c>
      <c r="H269" t="str">
        <f t="shared" ca="1" si="38"/>
        <v>Static</v>
      </c>
      <c r="I269" s="26">
        <f t="shared" ca="1" si="39"/>
        <v>-5.7228327760940374</v>
      </c>
    </row>
    <row r="270" spans="1:9" x14ac:dyDescent="0.2">
      <c r="A270">
        <v>267</v>
      </c>
      <c r="B270" s="30">
        <f t="shared" ca="1" si="32"/>
        <v>0.22182416025945417</v>
      </c>
      <c r="C270" t="b">
        <f t="shared" ca="1" si="33"/>
        <v>1</v>
      </c>
      <c r="D270">
        <f t="shared" ca="1" si="34"/>
        <v>26</v>
      </c>
      <c r="E270">
        <f t="shared" ca="1" si="35"/>
        <v>26</v>
      </c>
      <c r="F270" s="26">
        <f t="shared" ca="1" si="36"/>
        <v>4559.8298578501835</v>
      </c>
      <c r="G270" s="26">
        <f t="shared" ca="1" si="37"/>
        <v>4542.7041472916126</v>
      </c>
      <c r="H270" t="str">
        <f t="shared" ca="1" si="38"/>
        <v>Reactive</v>
      </c>
      <c r="I270" s="26">
        <f t="shared" ca="1" si="39"/>
        <v>17.125710558570972</v>
      </c>
    </row>
    <row r="271" spans="1:9" x14ac:dyDescent="0.2">
      <c r="A271">
        <v>268</v>
      </c>
      <c r="B271" s="30">
        <f t="shared" ca="1" si="32"/>
        <v>0.57222410673783097</v>
      </c>
      <c r="C271" t="b">
        <f t="shared" ca="1" si="33"/>
        <v>0</v>
      </c>
      <c r="D271">
        <f t="shared" ca="1" si="34"/>
        <v>27</v>
      </c>
      <c r="E271">
        <f t="shared" ca="1" si="35"/>
        <v>30</v>
      </c>
      <c r="F271" s="26">
        <f t="shared" ca="1" si="36"/>
        <v>4559.5949332349919</v>
      </c>
      <c r="G271" s="26">
        <f t="shared" ca="1" si="37"/>
        <v>4559.1513873295289</v>
      </c>
      <c r="H271" t="str">
        <f t="shared" ca="1" si="38"/>
        <v>Reactive</v>
      </c>
      <c r="I271" s="26">
        <f t="shared" ca="1" si="39"/>
        <v>0.44354590546299733</v>
      </c>
    </row>
    <row r="272" spans="1:9" x14ac:dyDescent="0.2">
      <c r="A272">
        <v>269</v>
      </c>
      <c r="B272" s="30">
        <f t="shared" ca="1" si="32"/>
        <v>0.68756319727767268</v>
      </c>
      <c r="C272" t="b">
        <f t="shared" ca="1" si="33"/>
        <v>0</v>
      </c>
      <c r="D272">
        <f t="shared" ca="1" si="34"/>
        <v>30</v>
      </c>
      <c r="E272">
        <f t="shared" ca="1" si="35"/>
        <v>30</v>
      </c>
      <c r="F272" s="26">
        <f t="shared" ca="1" si="36"/>
        <v>4560.3269855822382</v>
      </c>
      <c r="G272" s="26">
        <f t="shared" ca="1" si="37"/>
        <v>4560.4596959539795</v>
      </c>
      <c r="H272" t="str">
        <f t="shared" ca="1" si="38"/>
        <v>Static</v>
      </c>
      <c r="I272" s="26">
        <f t="shared" ca="1" si="39"/>
        <v>-0.13271037174126832</v>
      </c>
    </row>
    <row r="273" spans="1:9" x14ac:dyDescent="0.2">
      <c r="A273">
        <v>270</v>
      </c>
      <c r="B273" s="30">
        <f t="shared" ca="1" si="32"/>
        <v>0.792512517108934</v>
      </c>
      <c r="C273" t="b">
        <f t="shared" ca="1" si="33"/>
        <v>0</v>
      </c>
      <c r="D273">
        <f t="shared" ca="1" si="34"/>
        <v>29</v>
      </c>
      <c r="E273">
        <f t="shared" ca="1" si="35"/>
        <v>30</v>
      </c>
      <c r="F273" s="26">
        <f t="shared" ca="1" si="36"/>
        <v>4559.65011369082</v>
      </c>
      <c r="G273" s="26">
        <f t="shared" ca="1" si="37"/>
        <v>4560.6414262477192</v>
      </c>
      <c r="H273" t="str">
        <f t="shared" ca="1" si="38"/>
        <v>Static</v>
      </c>
      <c r="I273" s="26">
        <f t="shared" ca="1" si="39"/>
        <v>-0.99131255689917452</v>
      </c>
    </row>
    <row r="274" spans="1:9" x14ac:dyDescent="0.2">
      <c r="A274">
        <v>271</v>
      </c>
      <c r="B274" s="30">
        <f t="shared" ca="1" si="32"/>
        <v>0.25214834218310056</v>
      </c>
      <c r="C274" t="b">
        <f t="shared" ca="1" si="33"/>
        <v>1</v>
      </c>
      <c r="D274">
        <f t="shared" ca="1" si="34"/>
        <v>29</v>
      </c>
      <c r="E274">
        <f t="shared" ca="1" si="35"/>
        <v>29</v>
      </c>
      <c r="F274" s="26">
        <f t="shared" ca="1" si="36"/>
        <v>4557.1375063805135</v>
      </c>
      <c r="G274" s="26">
        <f t="shared" ca="1" si="37"/>
        <v>4542.044378164921</v>
      </c>
      <c r="H274" t="str">
        <f t="shared" ca="1" si="38"/>
        <v>Reactive</v>
      </c>
      <c r="I274" s="26">
        <f t="shared" ca="1" si="39"/>
        <v>15.093128215592515</v>
      </c>
    </row>
    <row r="275" spans="1:9" x14ac:dyDescent="0.2">
      <c r="A275">
        <v>272</v>
      </c>
      <c r="B275" s="30">
        <f t="shared" ca="1" si="32"/>
        <v>0.60732119964329079</v>
      </c>
      <c r="C275" t="b">
        <f t="shared" ca="1" si="33"/>
        <v>0</v>
      </c>
      <c r="D275">
        <f t="shared" ca="1" si="34"/>
        <v>28</v>
      </c>
      <c r="E275">
        <f t="shared" ca="1" si="35"/>
        <v>30</v>
      </c>
      <c r="F275" s="26">
        <f t="shared" ca="1" si="36"/>
        <v>4560.0632949788078</v>
      </c>
      <c r="G275" s="26">
        <f t="shared" ca="1" si="37"/>
        <v>4560.3545258245167</v>
      </c>
      <c r="H275" t="str">
        <f t="shared" ca="1" si="38"/>
        <v>Static</v>
      </c>
      <c r="I275" s="26">
        <f t="shared" ca="1" si="39"/>
        <v>-0.29123084570892388</v>
      </c>
    </row>
    <row r="276" spans="1:9" x14ac:dyDescent="0.2">
      <c r="A276">
        <v>273</v>
      </c>
      <c r="B276" s="30">
        <f t="shared" ca="1" si="32"/>
        <v>0.50688563633759764</v>
      </c>
      <c r="C276" t="b">
        <f t="shared" ca="1" si="33"/>
        <v>0</v>
      </c>
      <c r="D276">
        <f t="shared" ca="1" si="34"/>
        <v>28</v>
      </c>
      <c r="E276">
        <f t="shared" ca="1" si="35"/>
        <v>30</v>
      </c>
      <c r="F276" s="26">
        <f t="shared" ca="1" si="36"/>
        <v>4558.6893161277148</v>
      </c>
      <c r="G276" s="26">
        <f t="shared" ca="1" si="37"/>
        <v>4562.7244370483277</v>
      </c>
      <c r="H276" t="str">
        <f t="shared" ca="1" si="38"/>
        <v>Static</v>
      </c>
      <c r="I276" s="26">
        <f t="shared" ca="1" si="39"/>
        <v>-4.035120920612826</v>
      </c>
    </row>
    <row r="277" spans="1:9" x14ac:dyDescent="0.2">
      <c r="A277">
        <v>274</v>
      </c>
      <c r="B277" s="30">
        <f t="shared" ca="1" si="32"/>
        <v>0.21873004622681003</v>
      </c>
      <c r="C277" t="b">
        <f t="shared" ca="1" si="33"/>
        <v>1</v>
      </c>
      <c r="D277">
        <f t="shared" ca="1" si="34"/>
        <v>28</v>
      </c>
      <c r="E277">
        <f t="shared" ca="1" si="35"/>
        <v>28</v>
      </c>
      <c r="F277" s="26">
        <f t="shared" ca="1" si="36"/>
        <v>4557.9752345261677</v>
      </c>
      <c r="G277" s="26">
        <f t="shared" ca="1" si="37"/>
        <v>4542.8935816731746</v>
      </c>
      <c r="H277" t="str">
        <f t="shared" ca="1" si="38"/>
        <v>Reactive</v>
      </c>
      <c r="I277" s="26">
        <f t="shared" ca="1" si="39"/>
        <v>15.081652852993102</v>
      </c>
    </row>
    <row r="278" spans="1:9" x14ac:dyDescent="0.2">
      <c r="A278">
        <v>275</v>
      </c>
      <c r="B278" s="30">
        <f t="shared" ca="1" si="32"/>
        <v>0.53517583967484439</v>
      </c>
      <c r="C278" t="b">
        <f t="shared" ca="1" si="33"/>
        <v>0</v>
      </c>
      <c r="D278">
        <f t="shared" ca="1" si="34"/>
        <v>30</v>
      </c>
      <c r="E278">
        <f t="shared" ca="1" si="35"/>
        <v>30</v>
      </c>
      <c r="F278" s="26">
        <f t="shared" ca="1" si="36"/>
        <v>4559.4084655173838</v>
      </c>
      <c r="G278" s="26">
        <f t="shared" ca="1" si="37"/>
        <v>4559.8435547255031</v>
      </c>
      <c r="H278" t="str">
        <f t="shared" ca="1" si="38"/>
        <v>Static</v>
      </c>
      <c r="I278" s="26">
        <f t="shared" ca="1" si="39"/>
        <v>-0.43508920811927965</v>
      </c>
    </row>
    <row r="279" spans="1:9" x14ac:dyDescent="0.2">
      <c r="A279">
        <v>276</v>
      </c>
      <c r="B279" s="30">
        <f t="shared" ca="1" si="32"/>
        <v>0.35491056760067652</v>
      </c>
      <c r="C279" t="b">
        <f t="shared" ca="1" si="33"/>
        <v>0</v>
      </c>
      <c r="D279">
        <f t="shared" ca="1" si="34"/>
        <v>29</v>
      </c>
      <c r="E279">
        <f t="shared" ca="1" si="35"/>
        <v>30</v>
      </c>
      <c r="F279" s="26">
        <f t="shared" ca="1" si="36"/>
        <v>4560.0846822636959</v>
      </c>
      <c r="G279" s="26">
        <f t="shared" ca="1" si="37"/>
        <v>4560.100276907795</v>
      </c>
      <c r="H279" t="str">
        <f t="shared" ca="1" si="38"/>
        <v>Static</v>
      </c>
      <c r="I279" s="26">
        <f t="shared" ca="1" si="39"/>
        <v>-1.5594644099110155E-2</v>
      </c>
    </row>
    <row r="280" spans="1:9" x14ac:dyDescent="0.2">
      <c r="A280">
        <v>277</v>
      </c>
      <c r="B280" s="30">
        <f t="shared" ca="1" si="32"/>
        <v>0.43079846762337604</v>
      </c>
      <c r="C280" t="b">
        <f t="shared" ca="1" si="33"/>
        <v>0</v>
      </c>
      <c r="D280">
        <f t="shared" ca="1" si="34"/>
        <v>28</v>
      </c>
      <c r="E280">
        <f t="shared" ca="1" si="35"/>
        <v>30</v>
      </c>
      <c r="F280" s="26">
        <f t="shared" ca="1" si="36"/>
        <v>4559.0065522579553</v>
      </c>
      <c r="G280" s="26">
        <f t="shared" ca="1" si="37"/>
        <v>4559.4550308967982</v>
      </c>
      <c r="H280" t="str">
        <f t="shared" ca="1" si="38"/>
        <v>Static</v>
      </c>
      <c r="I280" s="26">
        <f t="shared" ca="1" si="39"/>
        <v>-0.44847863884297112</v>
      </c>
    </row>
    <row r="281" spans="1:9" x14ac:dyDescent="0.2">
      <c r="A281">
        <v>278</v>
      </c>
      <c r="B281" s="30">
        <f t="shared" ca="1" si="32"/>
        <v>0.80487640124390392</v>
      </c>
      <c r="C281" t="b">
        <f t="shared" ca="1" si="33"/>
        <v>0</v>
      </c>
      <c r="D281">
        <f t="shared" ca="1" si="34"/>
        <v>27</v>
      </c>
      <c r="E281">
        <f t="shared" ca="1" si="35"/>
        <v>30</v>
      </c>
      <c r="F281" s="26">
        <f t="shared" ca="1" si="36"/>
        <v>4558.7750091091666</v>
      </c>
      <c r="G281" s="26">
        <f t="shared" ca="1" si="37"/>
        <v>4559.0917037784648</v>
      </c>
      <c r="H281" t="str">
        <f t="shared" ca="1" si="38"/>
        <v>Static</v>
      </c>
      <c r="I281" s="26">
        <f t="shared" ca="1" si="39"/>
        <v>-0.31669466929815826</v>
      </c>
    </row>
    <row r="282" spans="1:9" x14ac:dyDescent="0.2">
      <c r="A282">
        <v>279</v>
      </c>
      <c r="B282" s="30">
        <f t="shared" ca="1" si="32"/>
        <v>0.99603435694683307</v>
      </c>
      <c r="C282" t="b">
        <f t="shared" ca="1" si="33"/>
        <v>0</v>
      </c>
      <c r="D282">
        <f t="shared" ca="1" si="34"/>
        <v>27</v>
      </c>
      <c r="E282">
        <f t="shared" ca="1" si="35"/>
        <v>30</v>
      </c>
      <c r="F282" s="26">
        <f t="shared" ca="1" si="36"/>
        <v>4558.5359548449615</v>
      </c>
      <c r="G282" s="26">
        <f t="shared" ca="1" si="37"/>
        <v>4560.2858269491671</v>
      </c>
      <c r="H282" t="str">
        <f t="shared" ca="1" si="38"/>
        <v>Static</v>
      </c>
      <c r="I282" s="26">
        <f t="shared" ca="1" si="39"/>
        <v>-1.7498721042056786</v>
      </c>
    </row>
    <row r="283" spans="1:9" x14ac:dyDescent="0.2">
      <c r="A283">
        <v>280</v>
      </c>
      <c r="B283" s="30">
        <f t="shared" ca="1" si="32"/>
        <v>6.7773721514143515E-2</v>
      </c>
      <c r="C283" t="b">
        <f t="shared" ca="1" si="33"/>
        <v>1</v>
      </c>
      <c r="D283">
        <f t="shared" ca="1" si="34"/>
        <v>27</v>
      </c>
      <c r="E283">
        <f t="shared" ca="1" si="35"/>
        <v>27</v>
      </c>
      <c r="F283" s="26">
        <f t="shared" ca="1" si="36"/>
        <v>4559.170991323329</v>
      </c>
      <c r="G283" s="26">
        <f t="shared" ca="1" si="37"/>
        <v>4541.7941129685159</v>
      </c>
      <c r="H283" t="str">
        <f t="shared" ca="1" si="38"/>
        <v>Reactive</v>
      </c>
      <c r="I283" s="26">
        <f t="shared" ca="1" si="39"/>
        <v>17.376878354813016</v>
      </c>
    </row>
    <row r="284" spans="1:9" x14ac:dyDescent="0.2">
      <c r="A284">
        <v>281</v>
      </c>
      <c r="B284" s="30">
        <f t="shared" ca="1" si="32"/>
        <v>0.52342116176825904</v>
      </c>
      <c r="C284" t="b">
        <f t="shared" ca="1" si="33"/>
        <v>0</v>
      </c>
      <c r="D284">
        <f t="shared" ca="1" si="34"/>
        <v>30</v>
      </c>
      <c r="E284">
        <f t="shared" ca="1" si="35"/>
        <v>30</v>
      </c>
      <c r="F284" s="26">
        <f t="shared" ca="1" si="36"/>
        <v>4559.5237138832908</v>
      </c>
      <c r="G284" s="26">
        <f t="shared" ca="1" si="37"/>
        <v>4558.7788104230958</v>
      </c>
      <c r="H284" t="str">
        <f t="shared" ca="1" si="38"/>
        <v>Reactive</v>
      </c>
      <c r="I284" s="26">
        <f t="shared" ca="1" si="39"/>
        <v>0.74490346019501885</v>
      </c>
    </row>
    <row r="285" spans="1:9" x14ac:dyDescent="0.2">
      <c r="A285">
        <v>282</v>
      </c>
      <c r="B285" s="30">
        <f t="shared" ca="1" si="32"/>
        <v>0.239366092269922</v>
      </c>
      <c r="C285" t="b">
        <f t="shared" ca="1" si="33"/>
        <v>1</v>
      </c>
      <c r="D285">
        <f t="shared" ca="1" si="34"/>
        <v>30</v>
      </c>
      <c r="E285">
        <f t="shared" ca="1" si="35"/>
        <v>30</v>
      </c>
      <c r="F285" s="26">
        <f t="shared" ca="1" si="36"/>
        <v>4558.1670051574401</v>
      </c>
      <c r="G285" s="26">
        <f t="shared" ca="1" si="37"/>
        <v>4542.5050813843018</v>
      </c>
      <c r="H285" t="str">
        <f t="shared" ca="1" si="38"/>
        <v>Reactive</v>
      </c>
      <c r="I285" s="26">
        <f t="shared" ca="1" si="39"/>
        <v>15.661923773138369</v>
      </c>
    </row>
    <row r="286" spans="1:9" x14ac:dyDescent="0.2">
      <c r="A286">
        <v>283</v>
      </c>
      <c r="B286" s="30">
        <f t="shared" ca="1" si="32"/>
        <v>0.79273312605945867</v>
      </c>
      <c r="C286" t="b">
        <f t="shared" ca="1" si="33"/>
        <v>0</v>
      </c>
      <c r="D286">
        <f t="shared" ca="1" si="34"/>
        <v>28</v>
      </c>
      <c r="E286">
        <f t="shared" ca="1" si="35"/>
        <v>30</v>
      </c>
      <c r="F286" s="26">
        <f t="shared" ca="1" si="36"/>
        <v>4556.8433411312562</v>
      </c>
      <c r="G286" s="26">
        <f t="shared" ca="1" si="37"/>
        <v>4559.1357352083432</v>
      </c>
      <c r="H286" t="str">
        <f t="shared" ca="1" si="38"/>
        <v>Static</v>
      </c>
      <c r="I286" s="26">
        <f t="shared" ca="1" si="39"/>
        <v>-2.2923940770870104</v>
      </c>
    </row>
    <row r="287" spans="1:9" x14ac:dyDescent="0.2">
      <c r="A287">
        <v>284</v>
      </c>
      <c r="B287" s="30">
        <f t="shared" ca="1" si="32"/>
        <v>0.61253450165019485</v>
      </c>
      <c r="C287" t="b">
        <f t="shared" ca="1" si="33"/>
        <v>0</v>
      </c>
      <c r="D287">
        <f t="shared" ca="1" si="34"/>
        <v>28</v>
      </c>
      <c r="E287">
        <f t="shared" ca="1" si="35"/>
        <v>30</v>
      </c>
      <c r="F287" s="26">
        <f t="shared" ca="1" si="36"/>
        <v>4559.6168307647868</v>
      </c>
      <c r="G287" s="26">
        <f t="shared" ca="1" si="37"/>
        <v>4560.6178863047835</v>
      </c>
      <c r="H287" t="str">
        <f t="shared" ca="1" si="38"/>
        <v>Static</v>
      </c>
      <c r="I287" s="26">
        <f t="shared" ca="1" si="39"/>
        <v>-1.0010555399967416</v>
      </c>
    </row>
    <row r="288" spans="1:9" x14ac:dyDescent="0.2">
      <c r="A288">
        <v>285</v>
      </c>
      <c r="B288" s="30">
        <f t="shared" ca="1" si="32"/>
        <v>0.77464917390529298</v>
      </c>
      <c r="C288" t="b">
        <f t="shared" ca="1" si="33"/>
        <v>0</v>
      </c>
      <c r="D288">
        <f t="shared" ca="1" si="34"/>
        <v>29</v>
      </c>
      <c r="E288">
        <f t="shared" ca="1" si="35"/>
        <v>30</v>
      </c>
      <c r="F288" s="26">
        <f t="shared" ca="1" si="36"/>
        <v>4559.180638722225</v>
      </c>
      <c r="G288" s="26">
        <f t="shared" ca="1" si="37"/>
        <v>4560.6663406282942</v>
      </c>
      <c r="H288" t="str">
        <f t="shared" ca="1" si="38"/>
        <v>Static</v>
      </c>
      <c r="I288" s="26">
        <f t="shared" ca="1" si="39"/>
        <v>-1.4857019060691528</v>
      </c>
    </row>
    <row r="289" spans="1:9" x14ac:dyDescent="0.2">
      <c r="A289">
        <v>286</v>
      </c>
      <c r="B289" s="30">
        <f t="shared" ca="1" si="32"/>
        <v>0.46046348988244601</v>
      </c>
      <c r="C289" t="b">
        <f t="shared" ca="1" si="33"/>
        <v>0</v>
      </c>
      <c r="D289">
        <f t="shared" ca="1" si="34"/>
        <v>29</v>
      </c>
      <c r="E289">
        <f t="shared" ca="1" si="35"/>
        <v>30</v>
      </c>
      <c r="F289" s="26">
        <f t="shared" ca="1" si="36"/>
        <v>4560.0619330792797</v>
      </c>
      <c r="G289" s="26">
        <f t="shared" ca="1" si="37"/>
        <v>4560.4709183208433</v>
      </c>
      <c r="H289" t="str">
        <f t="shared" ca="1" si="38"/>
        <v>Static</v>
      </c>
      <c r="I289" s="26">
        <f t="shared" ca="1" si="39"/>
        <v>-0.40898524156364147</v>
      </c>
    </row>
    <row r="290" spans="1:9" x14ac:dyDescent="0.2">
      <c r="A290">
        <v>287</v>
      </c>
      <c r="B290" s="30">
        <f t="shared" ca="1" si="32"/>
        <v>0.45030108544889158</v>
      </c>
      <c r="C290" t="b">
        <f t="shared" ca="1" si="33"/>
        <v>0</v>
      </c>
      <c r="D290">
        <f t="shared" ca="1" si="34"/>
        <v>26</v>
      </c>
      <c r="E290">
        <f t="shared" ca="1" si="35"/>
        <v>30</v>
      </c>
      <c r="F290" s="26">
        <f t="shared" ca="1" si="36"/>
        <v>4559.1331877061921</v>
      </c>
      <c r="G290" s="26">
        <f t="shared" ca="1" si="37"/>
        <v>4561.4583120062207</v>
      </c>
      <c r="H290" t="str">
        <f t="shared" ca="1" si="38"/>
        <v>Static</v>
      </c>
      <c r="I290" s="26">
        <f t="shared" ca="1" si="39"/>
        <v>-2.3251243000286195</v>
      </c>
    </row>
    <row r="291" spans="1:9" x14ac:dyDescent="0.2">
      <c r="A291">
        <v>288</v>
      </c>
      <c r="B291" s="30">
        <f t="shared" ca="1" si="32"/>
        <v>0.63144160418806639</v>
      </c>
      <c r="C291" t="b">
        <f t="shared" ca="1" si="33"/>
        <v>0</v>
      </c>
      <c r="D291">
        <f t="shared" ca="1" si="34"/>
        <v>29</v>
      </c>
      <c r="E291">
        <f t="shared" ca="1" si="35"/>
        <v>30</v>
      </c>
      <c r="F291" s="26">
        <f t="shared" ca="1" si="36"/>
        <v>4559.5563596194115</v>
      </c>
      <c r="G291" s="26">
        <f t="shared" ca="1" si="37"/>
        <v>4560.0097653374523</v>
      </c>
      <c r="H291" t="str">
        <f t="shared" ca="1" si="38"/>
        <v>Static</v>
      </c>
      <c r="I291" s="26">
        <f t="shared" ca="1" si="39"/>
        <v>-0.45340571804081264</v>
      </c>
    </row>
    <row r="292" spans="1:9" x14ac:dyDescent="0.2">
      <c r="A292">
        <v>289</v>
      </c>
      <c r="B292" s="30">
        <f t="shared" ca="1" si="32"/>
        <v>0.55545001685059114</v>
      </c>
      <c r="C292" t="b">
        <f t="shared" ca="1" si="33"/>
        <v>0</v>
      </c>
      <c r="D292">
        <f t="shared" ca="1" si="34"/>
        <v>27</v>
      </c>
      <c r="E292">
        <f t="shared" ca="1" si="35"/>
        <v>30</v>
      </c>
      <c r="F292" s="26">
        <f t="shared" ca="1" si="36"/>
        <v>4560.3481143742702</v>
      </c>
      <c r="G292" s="26">
        <f t="shared" ca="1" si="37"/>
        <v>4559.5391458150989</v>
      </c>
      <c r="H292" t="str">
        <f t="shared" ca="1" si="38"/>
        <v>Reactive</v>
      </c>
      <c r="I292" s="26">
        <f t="shared" ca="1" si="39"/>
        <v>0.80896855917126231</v>
      </c>
    </row>
    <row r="293" spans="1:9" x14ac:dyDescent="0.2">
      <c r="A293">
        <v>290</v>
      </c>
      <c r="B293" s="30">
        <f t="shared" ca="1" si="32"/>
        <v>0.59290521672437524</v>
      </c>
      <c r="C293" t="b">
        <f t="shared" ca="1" si="33"/>
        <v>0</v>
      </c>
      <c r="D293">
        <f t="shared" ca="1" si="34"/>
        <v>27</v>
      </c>
      <c r="E293">
        <f t="shared" ca="1" si="35"/>
        <v>30</v>
      </c>
      <c r="F293" s="26">
        <f t="shared" ca="1" si="36"/>
        <v>4560.187865791544</v>
      </c>
      <c r="G293" s="26">
        <f t="shared" ca="1" si="37"/>
        <v>4559.0285348111711</v>
      </c>
      <c r="H293" t="str">
        <f t="shared" ca="1" si="38"/>
        <v>Reactive</v>
      </c>
      <c r="I293" s="26">
        <f t="shared" ca="1" si="39"/>
        <v>1.1593309803729426</v>
      </c>
    </row>
    <row r="294" spans="1:9" x14ac:dyDescent="0.2">
      <c r="A294">
        <v>291</v>
      </c>
      <c r="B294" s="30">
        <f t="shared" ca="1" si="32"/>
        <v>0.29087603365474035</v>
      </c>
      <c r="C294" t="b">
        <f t="shared" ca="1" si="33"/>
        <v>1</v>
      </c>
      <c r="D294">
        <f t="shared" ca="1" si="34"/>
        <v>30</v>
      </c>
      <c r="E294">
        <f t="shared" ca="1" si="35"/>
        <v>30</v>
      </c>
      <c r="F294" s="26">
        <f t="shared" ca="1" si="36"/>
        <v>4558.2746776264075</v>
      </c>
      <c r="G294" s="26">
        <f t="shared" ca="1" si="37"/>
        <v>4543.2912384846841</v>
      </c>
      <c r="H294" t="str">
        <f t="shared" ca="1" si="38"/>
        <v>Reactive</v>
      </c>
      <c r="I294" s="26">
        <f t="shared" ca="1" si="39"/>
        <v>14.983439141723466</v>
      </c>
    </row>
    <row r="295" spans="1:9" x14ac:dyDescent="0.2">
      <c r="A295">
        <v>292</v>
      </c>
      <c r="B295" s="30">
        <f t="shared" ca="1" si="32"/>
        <v>0.66062291375747972</v>
      </c>
      <c r="C295" t="b">
        <f t="shared" ca="1" si="33"/>
        <v>0</v>
      </c>
      <c r="D295">
        <f t="shared" ca="1" si="34"/>
        <v>28</v>
      </c>
      <c r="E295">
        <f t="shared" ca="1" si="35"/>
        <v>30</v>
      </c>
      <c r="F295" s="26">
        <f t="shared" ca="1" si="36"/>
        <v>4559.4459335644106</v>
      </c>
      <c r="G295" s="26">
        <f t="shared" ca="1" si="37"/>
        <v>4558.3795074524878</v>
      </c>
      <c r="H295" t="str">
        <f t="shared" ca="1" si="38"/>
        <v>Reactive</v>
      </c>
      <c r="I295" s="26">
        <f t="shared" ca="1" si="39"/>
        <v>1.0664261119227376</v>
      </c>
    </row>
    <row r="296" spans="1:9" x14ac:dyDescent="0.2">
      <c r="A296">
        <v>293</v>
      </c>
      <c r="B296" s="30">
        <f t="shared" ca="1" si="32"/>
        <v>0.60674812310820525</v>
      </c>
      <c r="C296" t="b">
        <f t="shared" ca="1" si="33"/>
        <v>0</v>
      </c>
      <c r="D296">
        <f t="shared" ca="1" si="34"/>
        <v>29</v>
      </c>
      <c r="E296">
        <f t="shared" ca="1" si="35"/>
        <v>30</v>
      </c>
      <c r="F296" s="26">
        <f t="shared" ca="1" si="36"/>
        <v>4560.3693405400036</v>
      </c>
      <c r="G296" s="26">
        <f t="shared" ca="1" si="37"/>
        <v>4558.0723560613396</v>
      </c>
      <c r="H296" t="str">
        <f t="shared" ca="1" si="38"/>
        <v>Reactive</v>
      </c>
      <c r="I296" s="26">
        <f t="shared" ca="1" si="39"/>
        <v>2.2969844786639442</v>
      </c>
    </row>
    <row r="297" spans="1:9" x14ac:dyDescent="0.2">
      <c r="A297">
        <v>294</v>
      </c>
      <c r="B297" s="30">
        <f t="shared" ca="1" si="32"/>
        <v>0.25254260535553374</v>
      </c>
      <c r="C297" t="b">
        <f t="shared" ca="1" si="33"/>
        <v>1</v>
      </c>
      <c r="D297">
        <f t="shared" ca="1" si="34"/>
        <v>30</v>
      </c>
      <c r="E297">
        <f t="shared" ca="1" si="35"/>
        <v>30</v>
      </c>
      <c r="F297" s="26">
        <f t="shared" ca="1" si="36"/>
        <v>4559.2749812403126</v>
      </c>
      <c r="G297" s="26">
        <f t="shared" ca="1" si="37"/>
        <v>4542.2256485329572</v>
      </c>
      <c r="H297" t="str">
        <f t="shared" ca="1" si="38"/>
        <v>Reactive</v>
      </c>
      <c r="I297" s="26">
        <f t="shared" ca="1" si="39"/>
        <v>17.049332707355461</v>
      </c>
    </row>
    <row r="298" spans="1:9" x14ac:dyDescent="0.2">
      <c r="A298">
        <v>295</v>
      </c>
      <c r="B298" s="30">
        <f t="shared" ca="1" si="32"/>
        <v>0.37527195551300063</v>
      </c>
      <c r="C298" t="b">
        <f t="shared" ca="1" si="33"/>
        <v>0</v>
      </c>
      <c r="D298">
        <f t="shared" ca="1" si="34"/>
        <v>29</v>
      </c>
      <c r="E298">
        <f t="shared" ca="1" si="35"/>
        <v>30</v>
      </c>
      <c r="F298" s="26">
        <f t="shared" ca="1" si="36"/>
        <v>4557.8958554052087</v>
      </c>
      <c r="G298" s="26">
        <f t="shared" ca="1" si="37"/>
        <v>4558.9599596231201</v>
      </c>
      <c r="H298" t="str">
        <f t="shared" ca="1" si="38"/>
        <v>Static</v>
      </c>
      <c r="I298" s="26">
        <f t="shared" ca="1" si="39"/>
        <v>-1.0641042179113356</v>
      </c>
    </row>
    <row r="299" spans="1:9" x14ac:dyDescent="0.2">
      <c r="A299">
        <v>296</v>
      </c>
      <c r="B299" s="30">
        <f t="shared" ca="1" si="32"/>
        <v>0.15998396872309339</v>
      </c>
      <c r="C299" t="b">
        <f t="shared" ca="1" si="33"/>
        <v>1</v>
      </c>
      <c r="D299">
        <f t="shared" ca="1" si="34"/>
        <v>27</v>
      </c>
      <c r="E299">
        <f t="shared" ca="1" si="35"/>
        <v>27</v>
      </c>
      <c r="F299" s="26">
        <f t="shared" ca="1" si="36"/>
        <v>4561.2137912664512</v>
      </c>
      <c r="G299" s="26">
        <f t="shared" ca="1" si="37"/>
        <v>4540.7139499706054</v>
      </c>
      <c r="H299" t="str">
        <f t="shared" ca="1" si="38"/>
        <v>Reactive</v>
      </c>
      <c r="I299" s="26">
        <f t="shared" ca="1" si="39"/>
        <v>20.499841295845727</v>
      </c>
    </row>
    <row r="300" spans="1:9" x14ac:dyDescent="0.2">
      <c r="A300">
        <v>297</v>
      </c>
      <c r="B300" s="30">
        <f t="shared" ca="1" si="32"/>
        <v>0.25128666696706559</v>
      </c>
      <c r="C300" t="b">
        <f t="shared" ca="1" si="33"/>
        <v>1</v>
      </c>
      <c r="D300">
        <f t="shared" ca="1" si="34"/>
        <v>29</v>
      </c>
      <c r="E300">
        <f t="shared" ca="1" si="35"/>
        <v>29</v>
      </c>
      <c r="F300" s="26">
        <f t="shared" ca="1" si="36"/>
        <v>4557.4727546050717</v>
      </c>
      <c r="G300" s="26">
        <f t="shared" ca="1" si="37"/>
        <v>4544.021936850485</v>
      </c>
      <c r="H300" t="str">
        <f t="shared" ca="1" si="38"/>
        <v>Reactive</v>
      </c>
      <c r="I300" s="26">
        <f t="shared" ca="1" si="39"/>
        <v>13.450817754586751</v>
      </c>
    </row>
    <row r="301" spans="1:9" x14ac:dyDescent="0.2">
      <c r="A301">
        <v>298</v>
      </c>
      <c r="B301" s="30">
        <f t="shared" ca="1" si="32"/>
        <v>0.62752273203903952</v>
      </c>
      <c r="C301" t="b">
        <f t="shared" ca="1" si="33"/>
        <v>0</v>
      </c>
      <c r="D301">
        <f t="shared" ca="1" si="34"/>
        <v>27</v>
      </c>
      <c r="E301">
        <f t="shared" ca="1" si="35"/>
        <v>30</v>
      </c>
      <c r="F301" s="26">
        <f t="shared" ca="1" si="36"/>
        <v>4558.3781844321857</v>
      </c>
      <c r="G301" s="26">
        <f t="shared" ca="1" si="37"/>
        <v>4559.0802638691721</v>
      </c>
      <c r="H301" t="str">
        <f t="shared" ca="1" si="38"/>
        <v>Static</v>
      </c>
      <c r="I301" s="26">
        <f t="shared" ca="1" si="39"/>
        <v>-0.70207943698642339</v>
      </c>
    </row>
    <row r="302" spans="1:9" x14ac:dyDescent="0.2">
      <c r="A302">
        <v>299</v>
      </c>
      <c r="B302" s="30">
        <f t="shared" ca="1" si="32"/>
        <v>0.61144414034281258</v>
      </c>
      <c r="C302" t="b">
        <f t="shared" ca="1" si="33"/>
        <v>0</v>
      </c>
      <c r="D302">
        <f t="shared" ca="1" si="34"/>
        <v>30</v>
      </c>
      <c r="E302">
        <f t="shared" ca="1" si="35"/>
        <v>30</v>
      </c>
      <c r="F302" s="26">
        <f t="shared" ca="1" si="36"/>
        <v>4558.6556503749853</v>
      </c>
      <c r="G302" s="26">
        <f t="shared" ca="1" si="37"/>
        <v>4560.5198441689545</v>
      </c>
      <c r="H302" t="str">
        <f t="shared" ca="1" si="38"/>
        <v>Static</v>
      </c>
      <c r="I302" s="26">
        <f t="shared" ca="1" si="39"/>
        <v>-1.864193793969207</v>
      </c>
    </row>
    <row r="303" spans="1:9" x14ac:dyDescent="0.2">
      <c r="A303">
        <v>300</v>
      </c>
      <c r="B303" s="30">
        <f t="shared" ca="1" si="32"/>
        <v>0.82553469555324477</v>
      </c>
      <c r="C303" t="b">
        <f t="shared" ca="1" si="33"/>
        <v>0</v>
      </c>
      <c r="D303">
        <f t="shared" ca="1" si="34"/>
        <v>28</v>
      </c>
      <c r="E303">
        <f t="shared" ca="1" si="35"/>
        <v>30</v>
      </c>
      <c r="F303" s="26">
        <f t="shared" ca="1" si="36"/>
        <v>4560.3012279457598</v>
      </c>
      <c r="G303" s="26">
        <f t="shared" ca="1" si="37"/>
        <v>4559.6971254461387</v>
      </c>
      <c r="H303" t="str">
        <f t="shared" ca="1" si="38"/>
        <v>Reactive</v>
      </c>
      <c r="I303" s="26">
        <f t="shared" ca="1" si="39"/>
        <v>0.60410249962114904</v>
      </c>
    </row>
    <row r="304" spans="1:9" x14ac:dyDescent="0.2">
      <c r="A304">
        <v>301</v>
      </c>
      <c r="B304" s="30">
        <f t="shared" ca="1" si="32"/>
        <v>0.98409962949186514</v>
      </c>
      <c r="C304" t="b">
        <f t="shared" ca="1" si="33"/>
        <v>0</v>
      </c>
      <c r="D304">
        <f t="shared" ca="1" si="34"/>
        <v>26</v>
      </c>
      <c r="E304">
        <f t="shared" ca="1" si="35"/>
        <v>30</v>
      </c>
      <c r="F304" s="26">
        <f t="shared" ca="1" si="36"/>
        <v>4559.0128008219644</v>
      </c>
      <c r="G304" s="26">
        <f t="shared" ca="1" si="37"/>
        <v>4560.8671299856842</v>
      </c>
      <c r="H304" t="str">
        <f t="shared" ca="1" si="38"/>
        <v>Static</v>
      </c>
      <c r="I304" s="26">
        <f t="shared" ca="1" si="39"/>
        <v>-1.8543291637197399</v>
      </c>
    </row>
    <row r="305" spans="1:9" x14ac:dyDescent="0.2">
      <c r="A305">
        <v>302</v>
      </c>
      <c r="B305" s="30">
        <f t="shared" ca="1" si="32"/>
        <v>0.13842386001076878</v>
      </c>
      <c r="C305" t="b">
        <f t="shared" ca="1" si="33"/>
        <v>1</v>
      </c>
      <c r="D305">
        <f t="shared" ca="1" si="34"/>
        <v>30</v>
      </c>
      <c r="E305">
        <f t="shared" ca="1" si="35"/>
        <v>30</v>
      </c>
      <c r="F305" s="26">
        <f t="shared" ca="1" si="36"/>
        <v>4559.7933745017599</v>
      </c>
      <c r="G305" s="26">
        <f t="shared" ca="1" si="37"/>
        <v>4544.1729374163979</v>
      </c>
      <c r="H305" t="str">
        <f t="shared" ca="1" si="38"/>
        <v>Reactive</v>
      </c>
      <c r="I305" s="26">
        <f t="shared" ca="1" si="39"/>
        <v>15.620437085362028</v>
      </c>
    </row>
    <row r="306" spans="1:9" x14ac:dyDescent="0.2">
      <c r="A306">
        <v>303</v>
      </c>
      <c r="B306" s="30">
        <f t="shared" ca="1" si="32"/>
        <v>0.85100152064919388</v>
      </c>
      <c r="C306" t="b">
        <f t="shared" ca="1" si="33"/>
        <v>0</v>
      </c>
      <c r="D306">
        <f t="shared" ca="1" si="34"/>
        <v>26</v>
      </c>
      <c r="E306">
        <f t="shared" ca="1" si="35"/>
        <v>30</v>
      </c>
      <c r="F306" s="26">
        <f t="shared" ca="1" si="36"/>
        <v>4558.5108180505395</v>
      </c>
      <c r="G306" s="26">
        <f t="shared" ca="1" si="37"/>
        <v>4560.8526507730048</v>
      </c>
      <c r="H306" t="str">
        <f t="shared" ca="1" si="38"/>
        <v>Static</v>
      </c>
      <c r="I306" s="26">
        <f t="shared" ca="1" si="39"/>
        <v>-2.3418327224653694</v>
      </c>
    </row>
    <row r="307" spans="1:9" x14ac:dyDescent="0.2">
      <c r="A307">
        <v>304</v>
      </c>
      <c r="B307" s="30">
        <f t="shared" ca="1" si="32"/>
        <v>0.75600014873045629</v>
      </c>
      <c r="C307" t="b">
        <f t="shared" ca="1" si="33"/>
        <v>0</v>
      </c>
      <c r="D307">
        <f t="shared" ca="1" si="34"/>
        <v>28</v>
      </c>
      <c r="E307">
        <f t="shared" ca="1" si="35"/>
        <v>30</v>
      </c>
      <c r="F307" s="26">
        <f t="shared" ca="1" si="36"/>
        <v>4558.6111836277259</v>
      </c>
      <c r="G307" s="26">
        <f t="shared" ca="1" si="37"/>
        <v>4561.5675314297005</v>
      </c>
      <c r="H307" t="str">
        <f t="shared" ca="1" si="38"/>
        <v>Static</v>
      </c>
      <c r="I307" s="26">
        <f t="shared" ca="1" si="39"/>
        <v>-2.9563478019745162</v>
      </c>
    </row>
    <row r="308" spans="1:9" x14ac:dyDescent="0.2">
      <c r="A308">
        <v>305</v>
      </c>
      <c r="B308" s="30">
        <f t="shared" ca="1" si="32"/>
        <v>0.9380731566727325</v>
      </c>
      <c r="C308" t="b">
        <f t="shared" ca="1" si="33"/>
        <v>0</v>
      </c>
      <c r="D308">
        <f t="shared" ca="1" si="34"/>
        <v>26</v>
      </c>
      <c r="E308">
        <f t="shared" ca="1" si="35"/>
        <v>30</v>
      </c>
      <c r="F308" s="26">
        <f t="shared" ca="1" si="36"/>
        <v>4559.1567214533543</v>
      </c>
      <c r="G308" s="26">
        <f t="shared" ca="1" si="37"/>
        <v>4559.4385415253355</v>
      </c>
      <c r="H308" t="str">
        <f t="shared" ca="1" si="38"/>
        <v>Static</v>
      </c>
      <c r="I308" s="26">
        <f t="shared" ca="1" si="39"/>
        <v>-0.28182007198120118</v>
      </c>
    </row>
    <row r="309" spans="1:9" x14ac:dyDescent="0.2">
      <c r="A309">
        <v>306</v>
      </c>
      <c r="B309" s="30">
        <f t="shared" ca="1" si="32"/>
        <v>0.65539202651032225</v>
      </c>
      <c r="C309" t="b">
        <f t="shared" ca="1" si="33"/>
        <v>0</v>
      </c>
      <c r="D309">
        <f t="shared" ca="1" si="34"/>
        <v>29</v>
      </c>
      <c r="E309">
        <f t="shared" ca="1" si="35"/>
        <v>30</v>
      </c>
      <c r="F309" s="26">
        <f t="shared" ca="1" si="36"/>
        <v>4559.7994901305792</v>
      </c>
      <c r="G309" s="26">
        <f t="shared" ca="1" si="37"/>
        <v>4558.8286194327047</v>
      </c>
      <c r="H309" t="str">
        <f t="shared" ca="1" si="38"/>
        <v>Reactive</v>
      </c>
      <c r="I309" s="26">
        <f t="shared" ca="1" si="39"/>
        <v>0.97087069787448854</v>
      </c>
    </row>
    <row r="310" spans="1:9" x14ac:dyDescent="0.2">
      <c r="A310">
        <v>307</v>
      </c>
      <c r="B310" s="30">
        <f t="shared" ca="1" si="32"/>
        <v>0.21113907823752598</v>
      </c>
      <c r="C310" t="b">
        <f t="shared" ca="1" si="33"/>
        <v>1</v>
      </c>
      <c r="D310">
        <f t="shared" ca="1" si="34"/>
        <v>28</v>
      </c>
      <c r="E310">
        <f t="shared" ca="1" si="35"/>
        <v>28</v>
      </c>
      <c r="F310" s="26">
        <f t="shared" ca="1" si="36"/>
        <v>4559.1956645836117</v>
      </c>
      <c r="G310" s="26">
        <f t="shared" ca="1" si="37"/>
        <v>4542.6579444244335</v>
      </c>
      <c r="H310" t="str">
        <f t="shared" ca="1" si="38"/>
        <v>Reactive</v>
      </c>
      <c r="I310" s="26">
        <f t="shared" ca="1" si="39"/>
        <v>16.537720159178207</v>
      </c>
    </row>
    <row r="311" spans="1:9" x14ac:dyDescent="0.2">
      <c r="A311">
        <v>308</v>
      </c>
      <c r="B311" s="30">
        <f t="shared" ca="1" si="32"/>
        <v>0.87143793934677261</v>
      </c>
      <c r="C311" t="b">
        <f t="shared" ca="1" si="33"/>
        <v>0</v>
      </c>
      <c r="D311">
        <f t="shared" ca="1" si="34"/>
        <v>30</v>
      </c>
      <c r="E311">
        <f t="shared" ca="1" si="35"/>
        <v>30</v>
      </c>
      <c r="F311" s="26">
        <f t="shared" ca="1" si="36"/>
        <v>4558.0013261676795</v>
      </c>
      <c r="G311" s="26">
        <f t="shared" ca="1" si="37"/>
        <v>4559.4206475725059</v>
      </c>
      <c r="H311" t="str">
        <f t="shared" ca="1" si="38"/>
        <v>Static</v>
      </c>
      <c r="I311" s="26">
        <f t="shared" ca="1" si="39"/>
        <v>-1.4193214048264053</v>
      </c>
    </row>
    <row r="312" spans="1:9" x14ac:dyDescent="0.2">
      <c r="A312">
        <v>309</v>
      </c>
      <c r="B312" s="30">
        <f t="shared" ca="1" si="32"/>
        <v>0.66975088306303565</v>
      </c>
      <c r="C312" t="b">
        <f t="shared" ca="1" si="33"/>
        <v>0</v>
      </c>
      <c r="D312">
        <f t="shared" ca="1" si="34"/>
        <v>26</v>
      </c>
      <c r="E312">
        <f t="shared" ca="1" si="35"/>
        <v>30</v>
      </c>
      <c r="F312" s="26">
        <f t="shared" ca="1" si="36"/>
        <v>4559.4710110966471</v>
      </c>
      <c r="G312" s="26">
        <f t="shared" ca="1" si="37"/>
        <v>4559.55438863577</v>
      </c>
      <c r="H312" t="str">
        <f t="shared" ca="1" si="38"/>
        <v>Static</v>
      </c>
      <c r="I312" s="26">
        <f t="shared" ca="1" si="39"/>
        <v>-8.3377539122921007E-2</v>
      </c>
    </row>
    <row r="313" spans="1:9" x14ac:dyDescent="0.2">
      <c r="A313">
        <v>310</v>
      </c>
      <c r="B313" s="30">
        <f t="shared" ca="1" si="32"/>
        <v>0.23440307569163998</v>
      </c>
      <c r="C313" t="b">
        <f t="shared" ca="1" si="33"/>
        <v>1</v>
      </c>
      <c r="D313">
        <f t="shared" ca="1" si="34"/>
        <v>28</v>
      </c>
      <c r="E313">
        <f t="shared" ca="1" si="35"/>
        <v>28</v>
      </c>
      <c r="F313" s="26">
        <f t="shared" ca="1" si="36"/>
        <v>4559.4305310457876</v>
      </c>
      <c r="G313" s="26">
        <f t="shared" ca="1" si="37"/>
        <v>4541.545782717767</v>
      </c>
      <c r="H313" t="str">
        <f t="shared" ca="1" si="38"/>
        <v>Reactive</v>
      </c>
      <c r="I313" s="26">
        <f t="shared" ca="1" si="39"/>
        <v>17.884748328020578</v>
      </c>
    </row>
    <row r="314" spans="1:9" x14ac:dyDescent="0.2">
      <c r="A314">
        <v>311</v>
      </c>
      <c r="B314" s="30">
        <f t="shared" ca="1" si="32"/>
        <v>0.49652463572940786</v>
      </c>
      <c r="C314" t="b">
        <f t="shared" ca="1" si="33"/>
        <v>0</v>
      </c>
      <c r="D314">
        <f t="shared" ca="1" si="34"/>
        <v>26</v>
      </c>
      <c r="E314">
        <f t="shared" ca="1" si="35"/>
        <v>30</v>
      </c>
      <c r="F314" s="26">
        <f t="shared" ca="1" si="36"/>
        <v>4560.1708091816936</v>
      </c>
      <c r="G314" s="26">
        <f t="shared" ca="1" si="37"/>
        <v>4558.9572660162557</v>
      </c>
      <c r="H314" t="str">
        <f t="shared" ca="1" si="38"/>
        <v>Reactive</v>
      </c>
      <c r="I314" s="26">
        <f t="shared" ca="1" si="39"/>
        <v>1.2135431654378408</v>
      </c>
    </row>
    <row r="315" spans="1:9" x14ac:dyDescent="0.2">
      <c r="A315">
        <v>312</v>
      </c>
      <c r="B315" s="30">
        <f t="shared" ca="1" si="32"/>
        <v>0.60929794520463521</v>
      </c>
      <c r="C315" t="b">
        <f t="shared" ca="1" si="33"/>
        <v>0</v>
      </c>
      <c r="D315">
        <f t="shared" ca="1" si="34"/>
        <v>28</v>
      </c>
      <c r="E315">
        <f t="shared" ca="1" si="35"/>
        <v>30</v>
      </c>
      <c r="F315" s="26">
        <f t="shared" ca="1" si="36"/>
        <v>4560.3441560518222</v>
      </c>
      <c r="G315" s="26">
        <f t="shared" ca="1" si="37"/>
        <v>4559.6367488224751</v>
      </c>
      <c r="H315" t="str">
        <f t="shared" ca="1" si="38"/>
        <v>Reactive</v>
      </c>
      <c r="I315" s="26">
        <f t="shared" ca="1" si="39"/>
        <v>0.7074072293471545</v>
      </c>
    </row>
    <row r="316" spans="1:9" x14ac:dyDescent="0.2">
      <c r="A316">
        <v>313</v>
      </c>
      <c r="B316" s="30">
        <f t="shared" ca="1" si="32"/>
        <v>0.88025889923842937</v>
      </c>
      <c r="C316" t="b">
        <f t="shared" ca="1" si="33"/>
        <v>0</v>
      </c>
      <c r="D316">
        <f t="shared" ca="1" si="34"/>
        <v>26</v>
      </c>
      <c r="E316">
        <f t="shared" ca="1" si="35"/>
        <v>30</v>
      </c>
      <c r="F316" s="26">
        <f t="shared" ca="1" si="36"/>
        <v>4558.9911600184532</v>
      </c>
      <c r="G316" s="26">
        <f t="shared" ca="1" si="37"/>
        <v>4561.2056251281128</v>
      </c>
      <c r="H316" t="str">
        <f t="shared" ca="1" si="38"/>
        <v>Static</v>
      </c>
      <c r="I316" s="26">
        <f t="shared" ca="1" si="39"/>
        <v>-2.2144651096596135</v>
      </c>
    </row>
    <row r="317" spans="1:9" x14ac:dyDescent="0.2">
      <c r="A317">
        <v>314</v>
      </c>
      <c r="B317" s="30">
        <f t="shared" ca="1" si="32"/>
        <v>9.7062485895109685E-3</v>
      </c>
      <c r="C317" t="b">
        <f t="shared" ca="1" si="33"/>
        <v>1</v>
      </c>
      <c r="D317">
        <f t="shared" ca="1" si="34"/>
        <v>27</v>
      </c>
      <c r="E317">
        <f t="shared" ca="1" si="35"/>
        <v>27</v>
      </c>
      <c r="F317" s="26">
        <f t="shared" ca="1" si="36"/>
        <v>4559.2265951269464</v>
      </c>
      <c r="G317" s="26">
        <f t="shared" ca="1" si="37"/>
        <v>4541.0246373183109</v>
      </c>
      <c r="H317" t="str">
        <f t="shared" ca="1" si="38"/>
        <v>Reactive</v>
      </c>
      <c r="I317" s="26">
        <f t="shared" ca="1" si="39"/>
        <v>18.201957808635598</v>
      </c>
    </row>
    <row r="318" spans="1:9" x14ac:dyDescent="0.2">
      <c r="A318">
        <v>315</v>
      </c>
      <c r="B318" s="30">
        <f t="shared" ca="1" si="32"/>
        <v>0.50714912595932715</v>
      </c>
      <c r="C318" t="b">
        <f t="shared" ca="1" si="33"/>
        <v>0</v>
      </c>
      <c r="D318">
        <f t="shared" ca="1" si="34"/>
        <v>29</v>
      </c>
      <c r="E318">
        <f t="shared" ca="1" si="35"/>
        <v>30</v>
      </c>
      <c r="F318" s="26">
        <f t="shared" ca="1" si="36"/>
        <v>4560.3798973482071</v>
      </c>
      <c r="G318" s="26">
        <f t="shared" ca="1" si="37"/>
        <v>4559.866283235182</v>
      </c>
      <c r="H318" t="str">
        <f t="shared" ca="1" si="38"/>
        <v>Reactive</v>
      </c>
      <c r="I318" s="26">
        <f t="shared" ca="1" si="39"/>
        <v>0.51361411302514171</v>
      </c>
    </row>
    <row r="319" spans="1:9" x14ac:dyDescent="0.2">
      <c r="A319">
        <v>316</v>
      </c>
      <c r="B319" s="30">
        <f t="shared" ca="1" si="32"/>
        <v>0.53143005844723989</v>
      </c>
      <c r="C319" t="b">
        <f t="shared" ca="1" si="33"/>
        <v>0</v>
      </c>
      <c r="D319">
        <f t="shared" ca="1" si="34"/>
        <v>28</v>
      </c>
      <c r="E319">
        <f t="shared" ca="1" si="35"/>
        <v>30</v>
      </c>
      <c r="F319" s="26">
        <f t="shared" ca="1" si="36"/>
        <v>4560.1177468537271</v>
      </c>
      <c r="G319" s="26">
        <f t="shared" ca="1" si="37"/>
        <v>4559.5170581904522</v>
      </c>
      <c r="H319" t="str">
        <f t="shared" ca="1" si="38"/>
        <v>Reactive</v>
      </c>
      <c r="I319" s="26">
        <f t="shared" ca="1" si="39"/>
        <v>0.60068866327492287</v>
      </c>
    </row>
    <row r="320" spans="1:9" x14ac:dyDescent="0.2">
      <c r="A320">
        <v>317</v>
      </c>
      <c r="B320" s="30">
        <f t="shared" ca="1" si="32"/>
        <v>0.24391502345290872</v>
      </c>
      <c r="C320" t="b">
        <f t="shared" ca="1" si="33"/>
        <v>1</v>
      </c>
      <c r="D320">
        <f t="shared" ca="1" si="34"/>
        <v>26</v>
      </c>
      <c r="E320">
        <f t="shared" ca="1" si="35"/>
        <v>26</v>
      </c>
      <c r="F320" s="26">
        <f t="shared" ca="1" si="36"/>
        <v>4558.5306424967575</v>
      </c>
      <c r="G320" s="26">
        <f t="shared" ca="1" si="37"/>
        <v>4542.433481213523</v>
      </c>
      <c r="H320" t="str">
        <f t="shared" ca="1" si="38"/>
        <v>Reactive</v>
      </c>
      <c r="I320" s="26">
        <f t="shared" ca="1" si="39"/>
        <v>16.097161283234527</v>
      </c>
    </row>
    <row r="321" spans="1:9" x14ac:dyDescent="0.2">
      <c r="A321">
        <v>318</v>
      </c>
      <c r="B321" s="30">
        <f t="shared" ca="1" si="32"/>
        <v>0.90562362033064447</v>
      </c>
      <c r="C321" t="b">
        <f t="shared" ca="1" si="33"/>
        <v>0</v>
      </c>
      <c r="D321">
        <f t="shared" ca="1" si="34"/>
        <v>27</v>
      </c>
      <c r="E321">
        <f t="shared" ca="1" si="35"/>
        <v>30</v>
      </c>
      <c r="F321" s="26">
        <f t="shared" ca="1" si="36"/>
        <v>4559.9834964395322</v>
      </c>
      <c r="G321" s="26">
        <f t="shared" ca="1" si="37"/>
        <v>4561.9577767791952</v>
      </c>
      <c r="H321" t="str">
        <f t="shared" ca="1" si="38"/>
        <v>Static</v>
      </c>
      <c r="I321" s="26">
        <f t="shared" ca="1" si="39"/>
        <v>-1.9742803396629824</v>
      </c>
    </row>
    <row r="322" spans="1:9" x14ac:dyDescent="0.2">
      <c r="A322">
        <v>319</v>
      </c>
      <c r="B322" s="30">
        <f t="shared" ca="1" si="32"/>
        <v>0.31555173787782975</v>
      </c>
      <c r="C322" t="b">
        <f t="shared" ca="1" si="33"/>
        <v>1</v>
      </c>
      <c r="D322">
        <f t="shared" ca="1" si="34"/>
        <v>27</v>
      </c>
      <c r="E322">
        <f t="shared" ca="1" si="35"/>
        <v>27</v>
      </c>
      <c r="F322" s="26">
        <f t="shared" ca="1" si="36"/>
        <v>4557.9795482921281</v>
      </c>
      <c r="G322" s="26">
        <f t="shared" ca="1" si="37"/>
        <v>4543.1188693536706</v>
      </c>
      <c r="H322" t="str">
        <f t="shared" ca="1" si="38"/>
        <v>Reactive</v>
      </c>
      <c r="I322" s="26">
        <f t="shared" ca="1" si="39"/>
        <v>14.860678938457568</v>
      </c>
    </row>
    <row r="323" spans="1:9" x14ac:dyDescent="0.2">
      <c r="A323">
        <v>320</v>
      </c>
      <c r="B323" s="30">
        <f t="shared" ca="1" si="32"/>
        <v>6.5235121000651541E-2</v>
      </c>
      <c r="C323" t="b">
        <f t="shared" ca="1" si="33"/>
        <v>1</v>
      </c>
      <c r="D323">
        <f t="shared" ca="1" si="34"/>
        <v>27</v>
      </c>
      <c r="E323">
        <f t="shared" ca="1" si="35"/>
        <v>27</v>
      </c>
      <c r="F323" s="26">
        <f t="shared" ca="1" si="36"/>
        <v>4558.0042493882174</v>
      </c>
      <c r="G323" s="26">
        <f t="shared" ca="1" si="37"/>
        <v>4542.9993770641686</v>
      </c>
      <c r="H323" t="str">
        <f t="shared" ca="1" si="38"/>
        <v>Reactive</v>
      </c>
      <c r="I323" s="26">
        <f t="shared" ca="1" si="39"/>
        <v>15.004872324048847</v>
      </c>
    </row>
    <row r="324" spans="1:9" x14ac:dyDescent="0.2">
      <c r="A324">
        <v>321</v>
      </c>
      <c r="B324" s="30">
        <f t="shared" ref="B324:B387" ca="1" si="40">RAND()</f>
        <v>0.1725683814233393</v>
      </c>
      <c r="C324" t="b">
        <f t="shared" ref="C324:C387" ca="1" si="41">B324&lt;ProbSC</f>
        <v>1</v>
      </c>
      <c r="D324">
        <f t="shared" ref="D324:D387" ca="1" si="42">ReactMin+INT(RAND()*(ReactMax-ReactMin+1))</f>
        <v>30</v>
      </c>
      <c r="E324">
        <f t="shared" ref="E324:E387" ca="1" si="43">IF(C324,D324,MustLap)</f>
        <v>30</v>
      </c>
      <c r="F324" s="26">
        <f t="shared" ref="F324:F387" ca="1" si="44">BaseLap*Laps+Deg*(PlanLap*(PlanLap-1)/2+(Laps-PlanLap)*(Laps-PlanLap-1)/2)+PitGreen+NORMINV(RAND(),0,NoiseSD)</f>
        <v>4558.1628201551157</v>
      </c>
      <c r="G324" s="26">
        <f t="shared" ref="G324:G387" ca="1" si="45">BaseLap*Laps+Deg*(E324*(E324-1)/2+(Laps-E324)*(Laps-E324-1)/2)+IF(C324,PitSC,PitGreen)+NORMINV(RAND(),0,NoiseSD)</f>
        <v>4544.5387194516397</v>
      </c>
      <c r="H324" t="str">
        <f t="shared" ref="H324:H387" ca="1" si="46">IF(F324&lt;G324,"Static","Reactive")</f>
        <v>Reactive</v>
      </c>
      <c r="I324" s="26">
        <f t="shared" ref="I324:I387" ca="1" si="47">F324-G324</f>
        <v>13.62410070347596</v>
      </c>
    </row>
    <row r="325" spans="1:9" x14ac:dyDescent="0.2">
      <c r="A325">
        <v>322</v>
      </c>
      <c r="B325" s="30">
        <f t="shared" ca="1" si="40"/>
        <v>0.429772800886013</v>
      </c>
      <c r="C325" t="b">
        <f t="shared" ca="1" si="41"/>
        <v>0</v>
      </c>
      <c r="D325">
        <f t="shared" ca="1" si="42"/>
        <v>27</v>
      </c>
      <c r="E325">
        <f t="shared" ca="1" si="43"/>
        <v>30</v>
      </c>
      <c r="F325" s="26">
        <f t="shared" ca="1" si="44"/>
        <v>4559.1936438617504</v>
      </c>
      <c r="G325" s="26">
        <f t="shared" ca="1" si="45"/>
        <v>4560.8144416180776</v>
      </c>
      <c r="H325" t="str">
        <f t="shared" ca="1" si="46"/>
        <v>Static</v>
      </c>
      <c r="I325" s="26">
        <f t="shared" ca="1" si="47"/>
        <v>-1.6207977563271925</v>
      </c>
    </row>
    <row r="326" spans="1:9" x14ac:dyDescent="0.2">
      <c r="A326">
        <v>323</v>
      </c>
      <c r="B326" s="30">
        <f t="shared" ca="1" si="40"/>
        <v>0.95596592979803463</v>
      </c>
      <c r="C326" t="b">
        <f t="shared" ca="1" si="41"/>
        <v>0</v>
      </c>
      <c r="D326">
        <f t="shared" ca="1" si="42"/>
        <v>27</v>
      </c>
      <c r="E326">
        <f t="shared" ca="1" si="43"/>
        <v>30</v>
      </c>
      <c r="F326" s="26">
        <f t="shared" ca="1" si="44"/>
        <v>4560.1636454239879</v>
      </c>
      <c r="G326" s="26">
        <f t="shared" ca="1" si="45"/>
        <v>4561.3668668440241</v>
      </c>
      <c r="H326" t="str">
        <f t="shared" ca="1" si="46"/>
        <v>Static</v>
      </c>
      <c r="I326" s="26">
        <f t="shared" ca="1" si="47"/>
        <v>-1.2032214200362432</v>
      </c>
    </row>
    <row r="327" spans="1:9" x14ac:dyDescent="0.2">
      <c r="A327">
        <v>324</v>
      </c>
      <c r="B327" s="30">
        <f t="shared" ca="1" si="40"/>
        <v>0.16068083198127281</v>
      </c>
      <c r="C327" t="b">
        <f t="shared" ca="1" si="41"/>
        <v>1</v>
      </c>
      <c r="D327">
        <f t="shared" ca="1" si="42"/>
        <v>27</v>
      </c>
      <c r="E327">
        <f t="shared" ca="1" si="43"/>
        <v>27</v>
      </c>
      <c r="F327" s="26">
        <f t="shared" ca="1" si="44"/>
        <v>4558.8581978860338</v>
      </c>
      <c r="G327" s="26">
        <f t="shared" ca="1" si="45"/>
        <v>4542.1489531994212</v>
      </c>
      <c r="H327" t="str">
        <f t="shared" ca="1" si="46"/>
        <v>Reactive</v>
      </c>
      <c r="I327" s="26">
        <f t="shared" ca="1" si="47"/>
        <v>16.709244686612692</v>
      </c>
    </row>
    <row r="328" spans="1:9" x14ac:dyDescent="0.2">
      <c r="A328">
        <v>325</v>
      </c>
      <c r="B328" s="30">
        <f t="shared" ca="1" si="40"/>
        <v>0.87963710694648589</v>
      </c>
      <c r="C328" t="b">
        <f t="shared" ca="1" si="41"/>
        <v>0</v>
      </c>
      <c r="D328">
        <f t="shared" ca="1" si="42"/>
        <v>30</v>
      </c>
      <c r="E328">
        <f t="shared" ca="1" si="43"/>
        <v>30</v>
      </c>
      <c r="F328" s="26">
        <f t="shared" ca="1" si="44"/>
        <v>4557.8630903197818</v>
      </c>
      <c r="G328" s="26">
        <f t="shared" ca="1" si="45"/>
        <v>4559.1103757062401</v>
      </c>
      <c r="H328" t="str">
        <f t="shared" ca="1" si="46"/>
        <v>Static</v>
      </c>
      <c r="I328" s="26">
        <f t="shared" ca="1" si="47"/>
        <v>-1.2472853864583158</v>
      </c>
    </row>
    <row r="329" spans="1:9" x14ac:dyDescent="0.2">
      <c r="A329">
        <v>326</v>
      </c>
      <c r="B329" s="30">
        <f t="shared" ca="1" si="40"/>
        <v>0.88821071046994571</v>
      </c>
      <c r="C329" t="b">
        <f t="shared" ca="1" si="41"/>
        <v>0</v>
      </c>
      <c r="D329">
        <f t="shared" ca="1" si="42"/>
        <v>26</v>
      </c>
      <c r="E329">
        <f t="shared" ca="1" si="43"/>
        <v>30</v>
      </c>
      <c r="F329" s="26">
        <f t="shared" ca="1" si="44"/>
        <v>4560.8246331786586</v>
      </c>
      <c r="G329" s="26">
        <f t="shared" ca="1" si="45"/>
        <v>4560.5121740684544</v>
      </c>
      <c r="H329" t="str">
        <f t="shared" ca="1" si="46"/>
        <v>Reactive</v>
      </c>
      <c r="I329" s="26">
        <f t="shared" ca="1" si="47"/>
        <v>0.31245911020414496</v>
      </c>
    </row>
    <row r="330" spans="1:9" x14ac:dyDescent="0.2">
      <c r="A330">
        <v>327</v>
      </c>
      <c r="B330" s="30">
        <f t="shared" ca="1" si="40"/>
        <v>0.90835939439678748</v>
      </c>
      <c r="C330" t="b">
        <f t="shared" ca="1" si="41"/>
        <v>0</v>
      </c>
      <c r="D330">
        <f t="shared" ca="1" si="42"/>
        <v>30</v>
      </c>
      <c r="E330">
        <f t="shared" ca="1" si="43"/>
        <v>30</v>
      </c>
      <c r="F330" s="26">
        <f t="shared" ca="1" si="44"/>
        <v>4558.7662984419367</v>
      </c>
      <c r="G330" s="26">
        <f t="shared" ca="1" si="45"/>
        <v>4561.7432031693552</v>
      </c>
      <c r="H330" t="str">
        <f t="shared" ca="1" si="46"/>
        <v>Static</v>
      </c>
      <c r="I330" s="26">
        <f t="shared" ca="1" si="47"/>
        <v>-2.9769047274185141</v>
      </c>
    </row>
    <row r="331" spans="1:9" x14ac:dyDescent="0.2">
      <c r="A331">
        <v>328</v>
      </c>
      <c r="B331" s="30">
        <f t="shared" ca="1" si="40"/>
        <v>0.27369313376626248</v>
      </c>
      <c r="C331" t="b">
        <f t="shared" ca="1" si="41"/>
        <v>1</v>
      </c>
      <c r="D331">
        <f t="shared" ca="1" si="42"/>
        <v>26</v>
      </c>
      <c r="E331">
        <f t="shared" ca="1" si="43"/>
        <v>26</v>
      </c>
      <c r="F331" s="26">
        <f t="shared" ca="1" si="44"/>
        <v>4556.5963979974003</v>
      </c>
      <c r="G331" s="26">
        <f t="shared" ca="1" si="45"/>
        <v>4543.3805399877201</v>
      </c>
      <c r="H331" t="str">
        <f t="shared" ca="1" si="46"/>
        <v>Reactive</v>
      </c>
      <c r="I331" s="26">
        <f t="shared" ca="1" si="47"/>
        <v>13.215858009680232</v>
      </c>
    </row>
    <row r="332" spans="1:9" x14ac:dyDescent="0.2">
      <c r="A332">
        <v>329</v>
      </c>
      <c r="B332" s="30">
        <f t="shared" ca="1" si="40"/>
        <v>0.6985118743330373</v>
      </c>
      <c r="C332" t="b">
        <f t="shared" ca="1" si="41"/>
        <v>0</v>
      </c>
      <c r="D332">
        <f t="shared" ca="1" si="42"/>
        <v>26</v>
      </c>
      <c r="E332">
        <f t="shared" ca="1" si="43"/>
        <v>30</v>
      </c>
      <c r="F332" s="26">
        <f t="shared" ca="1" si="44"/>
        <v>4558.0870505615076</v>
      </c>
      <c r="G332" s="26">
        <f t="shared" ca="1" si="45"/>
        <v>4560.303390254172</v>
      </c>
      <c r="H332" t="str">
        <f t="shared" ca="1" si="46"/>
        <v>Static</v>
      </c>
      <c r="I332" s="26">
        <f t="shared" ca="1" si="47"/>
        <v>-2.2163396926644054</v>
      </c>
    </row>
    <row r="333" spans="1:9" x14ac:dyDescent="0.2">
      <c r="A333">
        <v>330</v>
      </c>
      <c r="B333" s="30">
        <f t="shared" ca="1" si="40"/>
        <v>0.46651183298840304</v>
      </c>
      <c r="C333" t="b">
        <f t="shared" ca="1" si="41"/>
        <v>0</v>
      </c>
      <c r="D333">
        <f t="shared" ca="1" si="42"/>
        <v>26</v>
      </c>
      <c r="E333">
        <f t="shared" ca="1" si="43"/>
        <v>30</v>
      </c>
      <c r="F333" s="26">
        <f t="shared" ca="1" si="44"/>
        <v>4557.7354607282696</v>
      </c>
      <c r="G333" s="26">
        <f t="shared" ca="1" si="45"/>
        <v>4560.3199747606732</v>
      </c>
      <c r="H333" t="str">
        <f t="shared" ca="1" si="46"/>
        <v>Static</v>
      </c>
      <c r="I333" s="26">
        <f t="shared" ca="1" si="47"/>
        <v>-2.5845140324036038</v>
      </c>
    </row>
    <row r="334" spans="1:9" x14ac:dyDescent="0.2">
      <c r="A334">
        <v>331</v>
      </c>
      <c r="B334" s="30">
        <f t="shared" ca="1" si="40"/>
        <v>0.85501357051005911</v>
      </c>
      <c r="C334" t="b">
        <f t="shared" ca="1" si="41"/>
        <v>0</v>
      </c>
      <c r="D334">
        <f t="shared" ca="1" si="42"/>
        <v>30</v>
      </c>
      <c r="E334">
        <f t="shared" ca="1" si="43"/>
        <v>30</v>
      </c>
      <c r="F334" s="26">
        <f t="shared" ca="1" si="44"/>
        <v>4559.9977597814959</v>
      </c>
      <c r="G334" s="26">
        <f t="shared" ca="1" si="45"/>
        <v>4562.0095820898732</v>
      </c>
      <c r="H334" t="str">
        <f t="shared" ca="1" si="46"/>
        <v>Static</v>
      </c>
      <c r="I334" s="26">
        <f t="shared" ca="1" si="47"/>
        <v>-2.0118223083773046</v>
      </c>
    </row>
    <row r="335" spans="1:9" x14ac:dyDescent="0.2">
      <c r="A335">
        <v>332</v>
      </c>
      <c r="B335" s="30">
        <f t="shared" ca="1" si="40"/>
        <v>0.89104716966205411</v>
      </c>
      <c r="C335" t="b">
        <f t="shared" ca="1" si="41"/>
        <v>0</v>
      </c>
      <c r="D335">
        <f t="shared" ca="1" si="42"/>
        <v>26</v>
      </c>
      <c r="E335">
        <f t="shared" ca="1" si="43"/>
        <v>30</v>
      </c>
      <c r="F335" s="26">
        <f t="shared" ca="1" si="44"/>
        <v>4558.9408598716454</v>
      </c>
      <c r="G335" s="26">
        <f t="shared" ca="1" si="45"/>
        <v>4560.4422060943998</v>
      </c>
      <c r="H335" t="str">
        <f t="shared" ca="1" si="46"/>
        <v>Static</v>
      </c>
      <c r="I335" s="26">
        <f t="shared" ca="1" si="47"/>
        <v>-1.5013462227543641</v>
      </c>
    </row>
    <row r="336" spans="1:9" x14ac:dyDescent="0.2">
      <c r="A336">
        <v>333</v>
      </c>
      <c r="B336" s="30">
        <f t="shared" ca="1" si="40"/>
        <v>0.27432688765484081</v>
      </c>
      <c r="C336" t="b">
        <f t="shared" ca="1" si="41"/>
        <v>1</v>
      </c>
      <c r="D336">
        <f t="shared" ca="1" si="42"/>
        <v>28</v>
      </c>
      <c r="E336">
        <f t="shared" ca="1" si="43"/>
        <v>28</v>
      </c>
      <c r="F336" s="26">
        <f t="shared" ca="1" si="44"/>
        <v>4558.6425986038548</v>
      </c>
      <c r="G336" s="26">
        <f t="shared" ca="1" si="45"/>
        <v>4544.3814702050149</v>
      </c>
      <c r="H336" t="str">
        <f t="shared" ca="1" si="46"/>
        <v>Reactive</v>
      </c>
      <c r="I336" s="26">
        <f t="shared" ca="1" si="47"/>
        <v>14.261128398839901</v>
      </c>
    </row>
    <row r="337" spans="1:9" x14ac:dyDescent="0.2">
      <c r="A337">
        <v>334</v>
      </c>
      <c r="B337" s="30">
        <f t="shared" ca="1" si="40"/>
        <v>0.70156362498528324</v>
      </c>
      <c r="C337" t="b">
        <f t="shared" ca="1" si="41"/>
        <v>0</v>
      </c>
      <c r="D337">
        <f t="shared" ca="1" si="42"/>
        <v>28</v>
      </c>
      <c r="E337">
        <f t="shared" ca="1" si="43"/>
        <v>30</v>
      </c>
      <c r="F337" s="26">
        <f t="shared" ca="1" si="44"/>
        <v>4558.9975724865271</v>
      </c>
      <c r="G337" s="26">
        <f t="shared" ca="1" si="45"/>
        <v>4559.7226330367885</v>
      </c>
      <c r="H337" t="str">
        <f t="shared" ca="1" si="46"/>
        <v>Static</v>
      </c>
      <c r="I337" s="26">
        <f t="shared" ca="1" si="47"/>
        <v>-0.72506055026133254</v>
      </c>
    </row>
    <row r="338" spans="1:9" x14ac:dyDescent="0.2">
      <c r="A338">
        <v>335</v>
      </c>
      <c r="B338" s="30">
        <f t="shared" ca="1" si="40"/>
        <v>0.86606811152972518</v>
      </c>
      <c r="C338" t="b">
        <f t="shared" ca="1" si="41"/>
        <v>0</v>
      </c>
      <c r="D338">
        <f t="shared" ca="1" si="42"/>
        <v>26</v>
      </c>
      <c r="E338">
        <f t="shared" ca="1" si="43"/>
        <v>30</v>
      </c>
      <c r="F338" s="26">
        <f t="shared" ca="1" si="44"/>
        <v>4559.1942238656902</v>
      </c>
      <c r="G338" s="26">
        <f t="shared" ca="1" si="45"/>
        <v>4560.1608930981129</v>
      </c>
      <c r="H338" t="str">
        <f t="shared" ca="1" si="46"/>
        <v>Static</v>
      </c>
      <c r="I338" s="26">
        <f t="shared" ca="1" si="47"/>
        <v>-0.96666923242264602</v>
      </c>
    </row>
    <row r="339" spans="1:9" x14ac:dyDescent="0.2">
      <c r="A339">
        <v>336</v>
      </c>
      <c r="B339" s="30">
        <f t="shared" ca="1" si="40"/>
        <v>0.14026938184078308</v>
      </c>
      <c r="C339" t="b">
        <f t="shared" ca="1" si="41"/>
        <v>1</v>
      </c>
      <c r="D339">
        <f t="shared" ca="1" si="42"/>
        <v>29</v>
      </c>
      <c r="E339">
        <f t="shared" ca="1" si="43"/>
        <v>29</v>
      </c>
      <c r="F339" s="26">
        <f t="shared" ca="1" si="44"/>
        <v>4558.6535206724247</v>
      </c>
      <c r="G339" s="26">
        <f t="shared" ca="1" si="45"/>
        <v>4543.9012273591106</v>
      </c>
      <c r="H339" t="str">
        <f t="shared" ca="1" si="46"/>
        <v>Reactive</v>
      </c>
      <c r="I339" s="26">
        <f t="shared" ca="1" si="47"/>
        <v>14.752293313314112</v>
      </c>
    </row>
    <row r="340" spans="1:9" x14ac:dyDescent="0.2">
      <c r="A340">
        <v>337</v>
      </c>
      <c r="B340" s="30">
        <f t="shared" ca="1" si="40"/>
        <v>0.72317502360350538</v>
      </c>
      <c r="C340" t="b">
        <f t="shared" ca="1" si="41"/>
        <v>0</v>
      </c>
      <c r="D340">
        <f t="shared" ca="1" si="42"/>
        <v>30</v>
      </c>
      <c r="E340">
        <f t="shared" ca="1" si="43"/>
        <v>30</v>
      </c>
      <c r="F340" s="26">
        <f t="shared" ca="1" si="44"/>
        <v>4558.6128733327978</v>
      </c>
      <c r="G340" s="26">
        <f t="shared" ca="1" si="45"/>
        <v>4561.2346035448309</v>
      </c>
      <c r="H340" t="str">
        <f t="shared" ca="1" si="46"/>
        <v>Static</v>
      </c>
      <c r="I340" s="26">
        <f t="shared" ca="1" si="47"/>
        <v>-2.6217302120330714</v>
      </c>
    </row>
    <row r="341" spans="1:9" x14ac:dyDescent="0.2">
      <c r="A341">
        <v>338</v>
      </c>
      <c r="B341" s="30">
        <f t="shared" ca="1" si="40"/>
        <v>0.16262376822207714</v>
      </c>
      <c r="C341" t="b">
        <f t="shared" ca="1" si="41"/>
        <v>1</v>
      </c>
      <c r="D341">
        <f t="shared" ca="1" si="42"/>
        <v>26</v>
      </c>
      <c r="E341">
        <f t="shared" ca="1" si="43"/>
        <v>26</v>
      </c>
      <c r="F341" s="26">
        <f t="shared" ca="1" si="44"/>
        <v>4559.670739495723</v>
      </c>
      <c r="G341" s="26">
        <f t="shared" ca="1" si="45"/>
        <v>4542.0298203300617</v>
      </c>
      <c r="H341" t="str">
        <f t="shared" ca="1" si="46"/>
        <v>Reactive</v>
      </c>
      <c r="I341" s="26">
        <f t="shared" ca="1" si="47"/>
        <v>17.640919165661217</v>
      </c>
    </row>
    <row r="342" spans="1:9" x14ac:dyDescent="0.2">
      <c r="A342">
        <v>339</v>
      </c>
      <c r="B342" s="30">
        <f t="shared" ca="1" si="40"/>
        <v>0.82947398211675549</v>
      </c>
      <c r="C342" t="b">
        <f t="shared" ca="1" si="41"/>
        <v>0</v>
      </c>
      <c r="D342">
        <f t="shared" ca="1" si="42"/>
        <v>30</v>
      </c>
      <c r="E342">
        <f t="shared" ca="1" si="43"/>
        <v>30</v>
      </c>
      <c r="F342" s="26">
        <f t="shared" ca="1" si="44"/>
        <v>4559.6823583720225</v>
      </c>
      <c r="G342" s="26">
        <f t="shared" ca="1" si="45"/>
        <v>4557.8431615071622</v>
      </c>
      <c r="H342" t="str">
        <f t="shared" ca="1" si="46"/>
        <v>Reactive</v>
      </c>
      <c r="I342" s="26">
        <f t="shared" ca="1" si="47"/>
        <v>1.8391968648602415</v>
      </c>
    </row>
    <row r="343" spans="1:9" x14ac:dyDescent="0.2">
      <c r="A343">
        <v>340</v>
      </c>
      <c r="B343" s="30">
        <f t="shared" ca="1" si="40"/>
        <v>0.34324152838551192</v>
      </c>
      <c r="C343" t="b">
        <f t="shared" ca="1" si="41"/>
        <v>1</v>
      </c>
      <c r="D343">
        <f t="shared" ca="1" si="42"/>
        <v>30</v>
      </c>
      <c r="E343">
        <f t="shared" ca="1" si="43"/>
        <v>30</v>
      </c>
      <c r="F343" s="26">
        <f t="shared" ca="1" si="44"/>
        <v>4557.3832282771727</v>
      </c>
      <c r="G343" s="26">
        <f t="shared" ca="1" si="45"/>
        <v>4541.7300743379592</v>
      </c>
      <c r="H343" t="str">
        <f t="shared" ca="1" si="46"/>
        <v>Reactive</v>
      </c>
      <c r="I343" s="26">
        <f t="shared" ca="1" si="47"/>
        <v>15.653153939213553</v>
      </c>
    </row>
    <row r="344" spans="1:9" x14ac:dyDescent="0.2">
      <c r="A344">
        <v>341</v>
      </c>
      <c r="B344" s="30">
        <f t="shared" ca="1" si="40"/>
        <v>0.6662038212617204</v>
      </c>
      <c r="C344" t="b">
        <f t="shared" ca="1" si="41"/>
        <v>0</v>
      </c>
      <c r="D344">
        <f t="shared" ca="1" si="42"/>
        <v>30</v>
      </c>
      <c r="E344">
        <f t="shared" ca="1" si="43"/>
        <v>30</v>
      </c>
      <c r="F344" s="26">
        <f t="shared" ca="1" si="44"/>
        <v>4558.2841554643428</v>
      </c>
      <c r="G344" s="26">
        <f t="shared" ca="1" si="45"/>
        <v>4561.0064958159264</v>
      </c>
      <c r="H344" t="str">
        <f t="shared" ca="1" si="46"/>
        <v>Static</v>
      </c>
      <c r="I344" s="26">
        <f t="shared" ca="1" si="47"/>
        <v>-2.7223403515836253</v>
      </c>
    </row>
    <row r="345" spans="1:9" x14ac:dyDescent="0.2">
      <c r="A345">
        <v>342</v>
      </c>
      <c r="B345" s="30">
        <f t="shared" ca="1" si="40"/>
        <v>0.58091493498260094</v>
      </c>
      <c r="C345" t="b">
        <f t="shared" ca="1" si="41"/>
        <v>0</v>
      </c>
      <c r="D345">
        <f t="shared" ca="1" si="42"/>
        <v>29</v>
      </c>
      <c r="E345">
        <f t="shared" ca="1" si="43"/>
        <v>30</v>
      </c>
      <c r="F345" s="26">
        <f t="shared" ca="1" si="44"/>
        <v>4560.4700620776521</v>
      </c>
      <c r="G345" s="26">
        <f t="shared" ca="1" si="45"/>
        <v>4560.3326867017131</v>
      </c>
      <c r="H345" t="str">
        <f t="shared" ca="1" si="46"/>
        <v>Reactive</v>
      </c>
      <c r="I345" s="26">
        <f t="shared" ca="1" si="47"/>
        <v>0.13737537593897287</v>
      </c>
    </row>
    <row r="346" spans="1:9" x14ac:dyDescent="0.2">
      <c r="A346">
        <v>343</v>
      </c>
      <c r="B346" s="30">
        <f t="shared" ca="1" si="40"/>
        <v>1.0227942579252081E-2</v>
      </c>
      <c r="C346" t="b">
        <f t="shared" ca="1" si="41"/>
        <v>1</v>
      </c>
      <c r="D346">
        <f t="shared" ca="1" si="42"/>
        <v>28</v>
      </c>
      <c r="E346">
        <f t="shared" ca="1" si="43"/>
        <v>28</v>
      </c>
      <c r="F346" s="26">
        <f t="shared" ca="1" si="44"/>
        <v>4558.2966949853471</v>
      </c>
      <c r="G346" s="26">
        <f t="shared" ca="1" si="45"/>
        <v>4543.112445283783</v>
      </c>
      <c r="H346" t="str">
        <f t="shared" ca="1" si="46"/>
        <v>Reactive</v>
      </c>
      <c r="I346" s="26">
        <f t="shared" ca="1" si="47"/>
        <v>15.184249701564113</v>
      </c>
    </row>
    <row r="347" spans="1:9" x14ac:dyDescent="0.2">
      <c r="A347">
        <v>344</v>
      </c>
      <c r="B347" s="30">
        <f t="shared" ca="1" si="40"/>
        <v>0.29634569395679555</v>
      </c>
      <c r="C347" t="b">
        <f t="shared" ca="1" si="41"/>
        <v>1</v>
      </c>
      <c r="D347">
        <f t="shared" ca="1" si="42"/>
        <v>28</v>
      </c>
      <c r="E347">
        <f t="shared" ca="1" si="43"/>
        <v>28</v>
      </c>
      <c r="F347" s="26">
        <f t="shared" ca="1" si="44"/>
        <v>4557.4063464930214</v>
      </c>
      <c r="G347" s="26">
        <f t="shared" ca="1" si="45"/>
        <v>4541.4560889591639</v>
      </c>
      <c r="H347" t="str">
        <f t="shared" ca="1" si="46"/>
        <v>Reactive</v>
      </c>
      <c r="I347" s="26">
        <f t="shared" ca="1" si="47"/>
        <v>15.950257533857439</v>
      </c>
    </row>
    <row r="348" spans="1:9" x14ac:dyDescent="0.2">
      <c r="A348">
        <v>345</v>
      </c>
      <c r="B348" s="30">
        <f t="shared" ca="1" si="40"/>
        <v>0.34227487428602998</v>
      </c>
      <c r="C348" t="b">
        <f t="shared" ca="1" si="41"/>
        <v>1</v>
      </c>
      <c r="D348">
        <f t="shared" ca="1" si="42"/>
        <v>28</v>
      </c>
      <c r="E348">
        <f t="shared" ca="1" si="43"/>
        <v>28</v>
      </c>
      <c r="F348" s="26">
        <f t="shared" ca="1" si="44"/>
        <v>4557.4887497473828</v>
      </c>
      <c r="G348" s="26">
        <f t="shared" ca="1" si="45"/>
        <v>4542.4035828396627</v>
      </c>
      <c r="H348" t="str">
        <f t="shared" ca="1" si="46"/>
        <v>Reactive</v>
      </c>
      <c r="I348" s="26">
        <f t="shared" ca="1" si="47"/>
        <v>15.085166907720122</v>
      </c>
    </row>
    <row r="349" spans="1:9" x14ac:dyDescent="0.2">
      <c r="A349">
        <v>346</v>
      </c>
      <c r="B349" s="30">
        <f t="shared" ca="1" si="40"/>
        <v>0.69602709984493538</v>
      </c>
      <c r="C349" t="b">
        <f t="shared" ca="1" si="41"/>
        <v>0</v>
      </c>
      <c r="D349">
        <f t="shared" ca="1" si="42"/>
        <v>29</v>
      </c>
      <c r="E349">
        <f t="shared" ca="1" si="43"/>
        <v>30</v>
      </c>
      <c r="F349" s="26">
        <f t="shared" ca="1" si="44"/>
        <v>4559.9609454024485</v>
      </c>
      <c r="G349" s="26">
        <f t="shared" ca="1" si="45"/>
        <v>4558.4963653855139</v>
      </c>
      <c r="H349" t="str">
        <f t="shared" ca="1" si="46"/>
        <v>Reactive</v>
      </c>
      <c r="I349" s="26">
        <f t="shared" ca="1" si="47"/>
        <v>1.464580016934633</v>
      </c>
    </row>
    <row r="350" spans="1:9" x14ac:dyDescent="0.2">
      <c r="A350">
        <v>347</v>
      </c>
      <c r="B350" s="30">
        <f t="shared" ca="1" si="40"/>
        <v>0.45186685594534093</v>
      </c>
      <c r="C350" t="b">
        <f t="shared" ca="1" si="41"/>
        <v>0</v>
      </c>
      <c r="D350">
        <f t="shared" ca="1" si="42"/>
        <v>26</v>
      </c>
      <c r="E350">
        <f t="shared" ca="1" si="43"/>
        <v>30</v>
      </c>
      <c r="F350" s="26">
        <f t="shared" ca="1" si="44"/>
        <v>4561.3910491613851</v>
      </c>
      <c r="G350" s="26">
        <f t="shared" ca="1" si="45"/>
        <v>4561.2307865010562</v>
      </c>
      <c r="H350" t="str">
        <f t="shared" ca="1" si="46"/>
        <v>Reactive</v>
      </c>
      <c r="I350" s="26">
        <f t="shared" ca="1" si="47"/>
        <v>0.16026266032895364</v>
      </c>
    </row>
    <row r="351" spans="1:9" x14ac:dyDescent="0.2">
      <c r="A351">
        <v>348</v>
      </c>
      <c r="B351" s="30">
        <f t="shared" ca="1" si="40"/>
        <v>0.49416004230952659</v>
      </c>
      <c r="C351" t="b">
        <f t="shared" ca="1" si="41"/>
        <v>0</v>
      </c>
      <c r="D351">
        <f t="shared" ca="1" si="42"/>
        <v>27</v>
      </c>
      <c r="E351">
        <f t="shared" ca="1" si="43"/>
        <v>30</v>
      </c>
      <c r="F351" s="26">
        <f t="shared" ca="1" si="44"/>
        <v>4559.8780704600622</v>
      </c>
      <c r="G351" s="26">
        <f t="shared" ca="1" si="45"/>
        <v>4560.5068049813854</v>
      </c>
      <c r="H351" t="str">
        <f t="shared" ca="1" si="46"/>
        <v>Static</v>
      </c>
      <c r="I351" s="26">
        <f t="shared" ca="1" si="47"/>
        <v>-0.62873452132316743</v>
      </c>
    </row>
    <row r="352" spans="1:9" x14ac:dyDescent="0.2">
      <c r="A352">
        <v>349</v>
      </c>
      <c r="B352" s="30">
        <f t="shared" ca="1" si="40"/>
        <v>0.25952437446544285</v>
      </c>
      <c r="C352" t="b">
        <f t="shared" ca="1" si="41"/>
        <v>1</v>
      </c>
      <c r="D352">
        <f t="shared" ca="1" si="42"/>
        <v>29</v>
      </c>
      <c r="E352">
        <f t="shared" ca="1" si="43"/>
        <v>29</v>
      </c>
      <c r="F352" s="26">
        <f t="shared" ca="1" si="44"/>
        <v>4558.3629905896578</v>
      </c>
      <c r="G352" s="26">
        <f t="shared" ca="1" si="45"/>
        <v>4543.2435254990614</v>
      </c>
      <c r="H352" t="str">
        <f t="shared" ca="1" si="46"/>
        <v>Reactive</v>
      </c>
      <c r="I352" s="26">
        <f t="shared" ca="1" si="47"/>
        <v>15.11946509059635</v>
      </c>
    </row>
    <row r="353" spans="1:9" x14ac:dyDescent="0.2">
      <c r="A353">
        <v>350</v>
      </c>
      <c r="B353" s="30">
        <f t="shared" ca="1" si="40"/>
        <v>0.42564642571452016</v>
      </c>
      <c r="C353" t="b">
        <f t="shared" ca="1" si="41"/>
        <v>0</v>
      </c>
      <c r="D353">
        <f t="shared" ca="1" si="42"/>
        <v>27</v>
      </c>
      <c r="E353">
        <f t="shared" ca="1" si="43"/>
        <v>30</v>
      </c>
      <c r="F353" s="26">
        <f t="shared" ca="1" si="44"/>
        <v>4559.5588500903259</v>
      </c>
      <c r="G353" s="26">
        <f t="shared" ca="1" si="45"/>
        <v>4561.4971834287262</v>
      </c>
      <c r="H353" t="str">
        <f t="shared" ca="1" si="46"/>
        <v>Static</v>
      </c>
      <c r="I353" s="26">
        <f t="shared" ca="1" si="47"/>
        <v>-1.9383333384002981</v>
      </c>
    </row>
    <row r="354" spans="1:9" x14ac:dyDescent="0.2">
      <c r="A354">
        <v>351</v>
      </c>
      <c r="B354" s="30">
        <f t="shared" ca="1" si="40"/>
        <v>0.40945071716614667</v>
      </c>
      <c r="C354" t="b">
        <f t="shared" ca="1" si="41"/>
        <v>0</v>
      </c>
      <c r="D354">
        <f t="shared" ca="1" si="42"/>
        <v>29</v>
      </c>
      <c r="E354">
        <f t="shared" ca="1" si="43"/>
        <v>30</v>
      </c>
      <c r="F354" s="26">
        <f t="shared" ca="1" si="44"/>
        <v>4559.5614328218817</v>
      </c>
      <c r="G354" s="26">
        <f t="shared" ca="1" si="45"/>
        <v>4559.7332205375842</v>
      </c>
      <c r="H354" t="str">
        <f t="shared" ca="1" si="46"/>
        <v>Static</v>
      </c>
      <c r="I354" s="26">
        <f t="shared" ca="1" si="47"/>
        <v>-0.17178771570252138</v>
      </c>
    </row>
    <row r="355" spans="1:9" x14ac:dyDescent="0.2">
      <c r="A355">
        <v>352</v>
      </c>
      <c r="B355" s="30">
        <f t="shared" ca="1" si="40"/>
        <v>0.53818496155429341</v>
      </c>
      <c r="C355" t="b">
        <f t="shared" ca="1" si="41"/>
        <v>0</v>
      </c>
      <c r="D355">
        <f t="shared" ca="1" si="42"/>
        <v>29</v>
      </c>
      <c r="E355">
        <f t="shared" ca="1" si="43"/>
        <v>30</v>
      </c>
      <c r="F355" s="26">
        <f t="shared" ca="1" si="44"/>
        <v>4559.5189321156749</v>
      </c>
      <c r="G355" s="26">
        <f t="shared" ca="1" si="45"/>
        <v>4561.5795936620889</v>
      </c>
      <c r="H355" t="str">
        <f t="shared" ca="1" si="46"/>
        <v>Static</v>
      </c>
      <c r="I355" s="26">
        <f t="shared" ca="1" si="47"/>
        <v>-2.0606615464139395</v>
      </c>
    </row>
    <row r="356" spans="1:9" x14ac:dyDescent="0.2">
      <c r="A356">
        <v>353</v>
      </c>
      <c r="B356" s="30">
        <f t="shared" ca="1" si="40"/>
        <v>0.4711800105656776</v>
      </c>
      <c r="C356" t="b">
        <f t="shared" ca="1" si="41"/>
        <v>0</v>
      </c>
      <c r="D356">
        <f t="shared" ca="1" si="42"/>
        <v>26</v>
      </c>
      <c r="E356">
        <f t="shared" ca="1" si="43"/>
        <v>30</v>
      </c>
      <c r="F356" s="26">
        <f t="shared" ca="1" si="44"/>
        <v>4558.6478417980179</v>
      </c>
      <c r="G356" s="26">
        <f t="shared" ca="1" si="45"/>
        <v>4560.517186441969</v>
      </c>
      <c r="H356" t="str">
        <f t="shared" ca="1" si="46"/>
        <v>Static</v>
      </c>
      <c r="I356" s="26">
        <f t="shared" ca="1" si="47"/>
        <v>-1.8693446439510808</v>
      </c>
    </row>
    <row r="357" spans="1:9" x14ac:dyDescent="0.2">
      <c r="A357">
        <v>354</v>
      </c>
      <c r="B357" s="30">
        <f t="shared" ca="1" si="40"/>
        <v>0.61650238374321553</v>
      </c>
      <c r="C357" t="b">
        <f t="shared" ca="1" si="41"/>
        <v>0</v>
      </c>
      <c r="D357">
        <f t="shared" ca="1" si="42"/>
        <v>27</v>
      </c>
      <c r="E357">
        <f t="shared" ca="1" si="43"/>
        <v>30</v>
      </c>
      <c r="F357" s="26">
        <f t="shared" ca="1" si="44"/>
        <v>4559.1191622979977</v>
      </c>
      <c r="G357" s="26">
        <f t="shared" ca="1" si="45"/>
        <v>4560.9092848752443</v>
      </c>
      <c r="H357" t="str">
        <f t="shared" ca="1" si="46"/>
        <v>Static</v>
      </c>
      <c r="I357" s="26">
        <f t="shared" ca="1" si="47"/>
        <v>-1.7901225772466205</v>
      </c>
    </row>
    <row r="358" spans="1:9" x14ac:dyDescent="0.2">
      <c r="A358">
        <v>355</v>
      </c>
      <c r="B358" s="30">
        <f t="shared" ca="1" si="40"/>
        <v>9.6175511314313678E-3</v>
      </c>
      <c r="C358" t="b">
        <f t="shared" ca="1" si="41"/>
        <v>1</v>
      </c>
      <c r="D358">
        <f t="shared" ca="1" si="42"/>
        <v>26</v>
      </c>
      <c r="E358">
        <f t="shared" ca="1" si="43"/>
        <v>26</v>
      </c>
      <c r="F358" s="26">
        <f t="shared" ca="1" si="44"/>
        <v>4561.1949140876941</v>
      </c>
      <c r="G358" s="26">
        <f t="shared" ca="1" si="45"/>
        <v>4542.4661058922584</v>
      </c>
      <c r="H358" t="str">
        <f t="shared" ca="1" si="46"/>
        <v>Reactive</v>
      </c>
      <c r="I358" s="26">
        <f t="shared" ca="1" si="47"/>
        <v>18.728808195435704</v>
      </c>
    </row>
    <row r="359" spans="1:9" x14ac:dyDescent="0.2">
      <c r="A359">
        <v>356</v>
      </c>
      <c r="B359" s="30">
        <f t="shared" ca="1" si="40"/>
        <v>0.37526611989557868</v>
      </c>
      <c r="C359" t="b">
        <f t="shared" ca="1" si="41"/>
        <v>0</v>
      </c>
      <c r="D359">
        <f t="shared" ca="1" si="42"/>
        <v>27</v>
      </c>
      <c r="E359">
        <f t="shared" ca="1" si="43"/>
        <v>30</v>
      </c>
      <c r="F359" s="26">
        <f t="shared" ca="1" si="44"/>
        <v>4558.0039626078187</v>
      </c>
      <c r="G359" s="26">
        <f t="shared" ca="1" si="45"/>
        <v>4560.4034308149194</v>
      </c>
      <c r="H359" t="str">
        <f t="shared" ca="1" si="46"/>
        <v>Static</v>
      </c>
      <c r="I359" s="26">
        <f t="shared" ca="1" si="47"/>
        <v>-2.3994682071006537</v>
      </c>
    </row>
    <row r="360" spans="1:9" x14ac:dyDescent="0.2">
      <c r="A360">
        <v>357</v>
      </c>
      <c r="B360" s="30">
        <f t="shared" ca="1" si="40"/>
        <v>0.42272928282226663</v>
      </c>
      <c r="C360" t="b">
        <f t="shared" ca="1" si="41"/>
        <v>0</v>
      </c>
      <c r="D360">
        <f t="shared" ca="1" si="42"/>
        <v>29</v>
      </c>
      <c r="E360">
        <f t="shared" ca="1" si="43"/>
        <v>30</v>
      </c>
      <c r="F360" s="26">
        <f t="shared" ca="1" si="44"/>
        <v>4558.6504004765702</v>
      </c>
      <c r="G360" s="26">
        <f t="shared" ca="1" si="45"/>
        <v>4560.8451522251326</v>
      </c>
      <c r="H360" t="str">
        <f t="shared" ca="1" si="46"/>
        <v>Static</v>
      </c>
      <c r="I360" s="26">
        <f t="shared" ca="1" si="47"/>
        <v>-2.1947517485623393</v>
      </c>
    </row>
    <row r="361" spans="1:9" x14ac:dyDescent="0.2">
      <c r="A361">
        <v>358</v>
      </c>
      <c r="B361" s="30">
        <f t="shared" ca="1" si="40"/>
        <v>0.14686238956976616</v>
      </c>
      <c r="C361" t="b">
        <f t="shared" ca="1" si="41"/>
        <v>1</v>
      </c>
      <c r="D361">
        <f t="shared" ca="1" si="42"/>
        <v>28</v>
      </c>
      <c r="E361">
        <f t="shared" ca="1" si="43"/>
        <v>28</v>
      </c>
      <c r="F361" s="26">
        <f t="shared" ca="1" si="44"/>
        <v>4560.8913565144167</v>
      </c>
      <c r="G361" s="26">
        <f t="shared" ca="1" si="45"/>
        <v>4543.0622261536446</v>
      </c>
      <c r="H361" t="str">
        <f t="shared" ca="1" si="46"/>
        <v>Reactive</v>
      </c>
      <c r="I361" s="26">
        <f t="shared" ca="1" si="47"/>
        <v>17.829130360772069</v>
      </c>
    </row>
    <row r="362" spans="1:9" x14ac:dyDescent="0.2">
      <c r="A362">
        <v>359</v>
      </c>
      <c r="B362" s="30">
        <f t="shared" ca="1" si="40"/>
        <v>0.41652227459728364</v>
      </c>
      <c r="C362" t="b">
        <f t="shared" ca="1" si="41"/>
        <v>0</v>
      </c>
      <c r="D362">
        <f t="shared" ca="1" si="42"/>
        <v>28</v>
      </c>
      <c r="E362">
        <f t="shared" ca="1" si="43"/>
        <v>30</v>
      </c>
      <c r="F362" s="26">
        <f t="shared" ca="1" si="44"/>
        <v>4558.6950144302127</v>
      </c>
      <c r="G362" s="26">
        <f t="shared" ca="1" si="45"/>
        <v>4559.804612554808</v>
      </c>
      <c r="H362" t="str">
        <f t="shared" ca="1" si="46"/>
        <v>Static</v>
      </c>
      <c r="I362" s="26">
        <f t="shared" ca="1" si="47"/>
        <v>-1.1095981245953226</v>
      </c>
    </row>
    <row r="363" spans="1:9" x14ac:dyDescent="0.2">
      <c r="A363">
        <v>360</v>
      </c>
      <c r="B363" s="30">
        <f t="shared" ca="1" si="40"/>
        <v>9.1790165187752071E-2</v>
      </c>
      <c r="C363" t="b">
        <f t="shared" ca="1" si="41"/>
        <v>1</v>
      </c>
      <c r="D363">
        <f t="shared" ca="1" si="42"/>
        <v>30</v>
      </c>
      <c r="E363">
        <f t="shared" ca="1" si="43"/>
        <v>30</v>
      </c>
      <c r="F363" s="26">
        <f t="shared" ca="1" si="44"/>
        <v>4558.9046529555908</v>
      </c>
      <c r="G363" s="26">
        <f t="shared" ca="1" si="45"/>
        <v>4545.0255751166569</v>
      </c>
      <c r="H363" t="str">
        <f t="shared" ca="1" si="46"/>
        <v>Reactive</v>
      </c>
      <c r="I363" s="26">
        <f t="shared" ca="1" si="47"/>
        <v>13.879077838933881</v>
      </c>
    </row>
    <row r="364" spans="1:9" x14ac:dyDescent="0.2">
      <c r="A364">
        <v>361</v>
      </c>
      <c r="B364" s="30">
        <f t="shared" ca="1" si="40"/>
        <v>0.93653496129888036</v>
      </c>
      <c r="C364" t="b">
        <f t="shared" ca="1" si="41"/>
        <v>0</v>
      </c>
      <c r="D364">
        <f t="shared" ca="1" si="42"/>
        <v>30</v>
      </c>
      <c r="E364">
        <f t="shared" ca="1" si="43"/>
        <v>30</v>
      </c>
      <c r="F364" s="26">
        <f t="shared" ca="1" si="44"/>
        <v>4561.572789602742</v>
      </c>
      <c r="G364" s="26">
        <f t="shared" ca="1" si="45"/>
        <v>4563.3071048144157</v>
      </c>
      <c r="H364" t="str">
        <f t="shared" ca="1" si="46"/>
        <v>Static</v>
      </c>
      <c r="I364" s="26">
        <f t="shared" ca="1" si="47"/>
        <v>-1.7343152116736746</v>
      </c>
    </row>
    <row r="365" spans="1:9" x14ac:dyDescent="0.2">
      <c r="A365">
        <v>362</v>
      </c>
      <c r="B365" s="30">
        <f t="shared" ca="1" si="40"/>
        <v>0.14416053229453152</v>
      </c>
      <c r="C365" t="b">
        <f t="shared" ca="1" si="41"/>
        <v>1</v>
      </c>
      <c r="D365">
        <f t="shared" ca="1" si="42"/>
        <v>28</v>
      </c>
      <c r="E365">
        <f t="shared" ca="1" si="43"/>
        <v>28</v>
      </c>
      <c r="F365" s="26">
        <f t="shared" ca="1" si="44"/>
        <v>4557.7877469237901</v>
      </c>
      <c r="G365" s="26">
        <f t="shared" ca="1" si="45"/>
        <v>4543.3924559679208</v>
      </c>
      <c r="H365" t="str">
        <f t="shared" ca="1" si="46"/>
        <v>Reactive</v>
      </c>
      <c r="I365" s="26">
        <f t="shared" ca="1" si="47"/>
        <v>14.395290955869314</v>
      </c>
    </row>
    <row r="366" spans="1:9" x14ac:dyDescent="0.2">
      <c r="A366">
        <v>363</v>
      </c>
      <c r="B366" s="30">
        <f t="shared" ca="1" si="40"/>
        <v>0.98442114977925854</v>
      </c>
      <c r="C366" t="b">
        <f t="shared" ca="1" si="41"/>
        <v>0</v>
      </c>
      <c r="D366">
        <f t="shared" ca="1" si="42"/>
        <v>28</v>
      </c>
      <c r="E366">
        <f t="shared" ca="1" si="43"/>
        <v>30</v>
      </c>
      <c r="F366" s="26">
        <f t="shared" ca="1" si="44"/>
        <v>4559.3801256608094</v>
      </c>
      <c r="G366" s="26">
        <f t="shared" ca="1" si="45"/>
        <v>4561.6117035622037</v>
      </c>
      <c r="H366" t="str">
        <f t="shared" ca="1" si="46"/>
        <v>Static</v>
      </c>
      <c r="I366" s="26">
        <f t="shared" ca="1" si="47"/>
        <v>-2.2315779013943029</v>
      </c>
    </row>
    <row r="367" spans="1:9" x14ac:dyDescent="0.2">
      <c r="A367">
        <v>364</v>
      </c>
      <c r="B367" s="30">
        <f t="shared" ca="1" si="40"/>
        <v>0.44763911016626035</v>
      </c>
      <c r="C367" t="b">
        <f t="shared" ca="1" si="41"/>
        <v>0</v>
      </c>
      <c r="D367">
        <f t="shared" ca="1" si="42"/>
        <v>29</v>
      </c>
      <c r="E367">
        <f t="shared" ca="1" si="43"/>
        <v>30</v>
      </c>
      <c r="F367" s="26">
        <f t="shared" ca="1" si="44"/>
        <v>4560.6331918723954</v>
      </c>
      <c r="G367" s="26">
        <f t="shared" ca="1" si="45"/>
        <v>4559.9340445161324</v>
      </c>
      <c r="H367" t="str">
        <f t="shared" ca="1" si="46"/>
        <v>Reactive</v>
      </c>
      <c r="I367" s="26">
        <f t="shared" ca="1" si="47"/>
        <v>0.69914735626298352</v>
      </c>
    </row>
    <row r="368" spans="1:9" x14ac:dyDescent="0.2">
      <c r="A368">
        <v>365</v>
      </c>
      <c r="B368" s="30">
        <f t="shared" ca="1" si="40"/>
        <v>0.87597309280594327</v>
      </c>
      <c r="C368" t="b">
        <f t="shared" ca="1" si="41"/>
        <v>0</v>
      </c>
      <c r="D368">
        <f t="shared" ca="1" si="42"/>
        <v>28</v>
      </c>
      <c r="E368">
        <f t="shared" ca="1" si="43"/>
        <v>30</v>
      </c>
      <c r="F368" s="26">
        <f t="shared" ca="1" si="44"/>
        <v>4558.8147520405828</v>
      </c>
      <c r="G368" s="26">
        <f t="shared" ca="1" si="45"/>
        <v>4559.6525021353564</v>
      </c>
      <c r="H368" t="str">
        <f t="shared" ca="1" si="46"/>
        <v>Static</v>
      </c>
      <c r="I368" s="26">
        <f t="shared" ca="1" si="47"/>
        <v>-0.83775009477358253</v>
      </c>
    </row>
    <row r="369" spans="1:9" x14ac:dyDescent="0.2">
      <c r="A369">
        <v>366</v>
      </c>
      <c r="B369" s="30">
        <f t="shared" ca="1" si="40"/>
        <v>0.31046363712727398</v>
      </c>
      <c r="C369" t="b">
        <f t="shared" ca="1" si="41"/>
        <v>1</v>
      </c>
      <c r="D369">
        <f t="shared" ca="1" si="42"/>
        <v>26</v>
      </c>
      <c r="E369">
        <f t="shared" ca="1" si="43"/>
        <v>26</v>
      </c>
      <c r="F369" s="26">
        <f t="shared" ca="1" si="44"/>
        <v>4559.7851437495638</v>
      </c>
      <c r="G369" s="26">
        <f t="shared" ca="1" si="45"/>
        <v>4541.887678129493</v>
      </c>
      <c r="H369" t="str">
        <f t="shared" ca="1" si="46"/>
        <v>Reactive</v>
      </c>
      <c r="I369" s="26">
        <f t="shared" ca="1" si="47"/>
        <v>17.897465620070761</v>
      </c>
    </row>
    <row r="370" spans="1:9" x14ac:dyDescent="0.2">
      <c r="A370">
        <v>367</v>
      </c>
      <c r="B370" s="30">
        <f t="shared" ca="1" si="40"/>
        <v>1.1802117126246348E-2</v>
      </c>
      <c r="C370" t="b">
        <f t="shared" ca="1" si="41"/>
        <v>1</v>
      </c>
      <c r="D370">
        <f t="shared" ca="1" si="42"/>
        <v>28</v>
      </c>
      <c r="E370">
        <f t="shared" ca="1" si="43"/>
        <v>28</v>
      </c>
      <c r="F370" s="26">
        <f t="shared" ca="1" si="44"/>
        <v>4560.1654397706689</v>
      </c>
      <c r="G370" s="26">
        <f t="shared" ca="1" si="45"/>
        <v>4542.2364432417035</v>
      </c>
      <c r="H370" t="str">
        <f t="shared" ca="1" si="46"/>
        <v>Reactive</v>
      </c>
      <c r="I370" s="26">
        <f t="shared" ca="1" si="47"/>
        <v>17.928996528965399</v>
      </c>
    </row>
    <row r="371" spans="1:9" x14ac:dyDescent="0.2">
      <c r="A371">
        <v>368</v>
      </c>
      <c r="B371" s="30">
        <f t="shared" ca="1" si="40"/>
        <v>0.61917532950900933</v>
      </c>
      <c r="C371" t="b">
        <f t="shared" ca="1" si="41"/>
        <v>0</v>
      </c>
      <c r="D371">
        <f t="shared" ca="1" si="42"/>
        <v>29</v>
      </c>
      <c r="E371">
        <f t="shared" ca="1" si="43"/>
        <v>30</v>
      </c>
      <c r="F371" s="26">
        <f t="shared" ca="1" si="44"/>
        <v>4559.6747513282562</v>
      </c>
      <c r="G371" s="26">
        <f t="shared" ca="1" si="45"/>
        <v>4560.7201070968622</v>
      </c>
      <c r="H371" t="str">
        <f t="shared" ca="1" si="46"/>
        <v>Static</v>
      </c>
      <c r="I371" s="26">
        <f t="shared" ca="1" si="47"/>
        <v>-1.0453557686059867</v>
      </c>
    </row>
    <row r="372" spans="1:9" x14ac:dyDescent="0.2">
      <c r="A372">
        <v>369</v>
      </c>
      <c r="B372" s="30">
        <f t="shared" ca="1" si="40"/>
        <v>0.80614896241781731</v>
      </c>
      <c r="C372" t="b">
        <f t="shared" ca="1" si="41"/>
        <v>0</v>
      </c>
      <c r="D372">
        <f t="shared" ca="1" si="42"/>
        <v>26</v>
      </c>
      <c r="E372">
        <f t="shared" ca="1" si="43"/>
        <v>30</v>
      </c>
      <c r="F372" s="26">
        <f t="shared" ca="1" si="44"/>
        <v>4558.4560897669462</v>
      </c>
      <c r="G372" s="26">
        <f t="shared" ca="1" si="45"/>
        <v>4561.113188242055</v>
      </c>
      <c r="H372" t="str">
        <f t="shared" ca="1" si="46"/>
        <v>Static</v>
      </c>
      <c r="I372" s="26">
        <f t="shared" ca="1" si="47"/>
        <v>-2.6570984751087963</v>
      </c>
    </row>
    <row r="373" spans="1:9" x14ac:dyDescent="0.2">
      <c r="A373">
        <v>370</v>
      </c>
      <c r="B373" s="30">
        <f t="shared" ca="1" si="40"/>
        <v>0.82707763383289157</v>
      </c>
      <c r="C373" t="b">
        <f t="shared" ca="1" si="41"/>
        <v>0</v>
      </c>
      <c r="D373">
        <f t="shared" ca="1" si="42"/>
        <v>29</v>
      </c>
      <c r="E373">
        <f t="shared" ca="1" si="43"/>
        <v>30</v>
      </c>
      <c r="F373" s="26">
        <f t="shared" ca="1" si="44"/>
        <v>4556.57255876618</v>
      </c>
      <c r="G373" s="26">
        <f t="shared" ca="1" si="45"/>
        <v>4560.3917920901213</v>
      </c>
      <c r="H373" t="str">
        <f t="shared" ca="1" si="46"/>
        <v>Static</v>
      </c>
      <c r="I373" s="26">
        <f t="shared" ca="1" si="47"/>
        <v>-3.8192333239412619</v>
      </c>
    </row>
    <row r="374" spans="1:9" x14ac:dyDescent="0.2">
      <c r="A374">
        <v>371</v>
      </c>
      <c r="B374" s="30">
        <f t="shared" ca="1" si="40"/>
        <v>0.92986426181909299</v>
      </c>
      <c r="C374" t="b">
        <f t="shared" ca="1" si="41"/>
        <v>0</v>
      </c>
      <c r="D374">
        <f t="shared" ca="1" si="42"/>
        <v>27</v>
      </c>
      <c r="E374">
        <f t="shared" ca="1" si="43"/>
        <v>30</v>
      </c>
      <c r="F374" s="26">
        <f t="shared" ca="1" si="44"/>
        <v>4560.6242753129227</v>
      </c>
      <c r="G374" s="26">
        <f t="shared" ca="1" si="45"/>
        <v>4560.5957673201983</v>
      </c>
      <c r="H374" t="str">
        <f t="shared" ca="1" si="46"/>
        <v>Reactive</v>
      </c>
      <c r="I374" s="26">
        <f t="shared" ca="1" si="47"/>
        <v>2.8507992724371434E-2</v>
      </c>
    </row>
    <row r="375" spans="1:9" x14ac:dyDescent="0.2">
      <c r="A375">
        <v>372</v>
      </c>
      <c r="B375" s="30">
        <f t="shared" ca="1" si="40"/>
        <v>0.83027135184447276</v>
      </c>
      <c r="C375" t="b">
        <f t="shared" ca="1" si="41"/>
        <v>0</v>
      </c>
      <c r="D375">
        <f t="shared" ca="1" si="42"/>
        <v>29</v>
      </c>
      <c r="E375">
        <f t="shared" ca="1" si="43"/>
        <v>30</v>
      </c>
      <c r="F375" s="26">
        <f t="shared" ca="1" si="44"/>
        <v>4557.7732384002375</v>
      </c>
      <c r="G375" s="26">
        <f t="shared" ca="1" si="45"/>
        <v>4559.5196650853131</v>
      </c>
      <c r="H375" t="str">
        <f t="shared" ca="1" si="46"/>
        <v>Static</v>
      </c>
      <c r="I375" s="26">
        <f t="shared" ca="1" si="47"/>
        <v>-1.7464266850756758</v>
      </c>
    </row>
    <row r="376" spans="1:9" x14ac:dyDescent="0.2">
      <c r="A376">
        <v>373</v>
      </c>
      <c r="B376" s="30">
        <f t="shared" ca="1" si="40"/>
        <v>0.69233726653503858</v>
      </c>
      <c r="C376" t="b">
        <f t="shared" ca="1" si="41"/>
        <v>0</v>
      </c>
      <c r="D376">
        <f t="shared" ca="1" si="42"/>
        <v>28</v>
      </c>
      <c r="E376">
        <f t="shared" ca="1" si="43"/>
        <v>30</v>
      </c>
      <c r="F376" s="26">
        <f t="shared" ca="1" si="44"/>
        <v>4558.6477111310596</v>
      </c>
      <c r="G376" s="26">
        <f t="shared" ca="1" si="45"/>
        <v>4560.7698786179926</v>
      </c>
      <c r="H376" t="str">
        <f t="shared" ca="1" si="46"/>
        <v>Static</v>
      </c>
      <c r="I376" s="26">
        <f t="shared" ca="1" si="47"/>
        <v>-2.1221674869329945</v>
      </c>
    </row>
    <row r="377" spans="1:9" x14ac:dyDescent="0.2">
      <c r="A377">
        <v>374</v>
      </c>
      <c r="B377" s="30">
        <f t="shared" ca="1" si="40"/>
        <v>0.60359945924841429</v>
      </c>
      <c r="C377" t="b">
        <f t="shared" ca="1" si="41"/>
        <v>0</v>
      </c>
      <c r="D377">
        <f t="shared" ca="1" si="42"/>
        <v>26</v>
      </c>
      <c r="E377">
        <f t="shared" ca="1" si="43"/>
        <v>30</v>
      </c>
      <c r="F377" s="26">
        <f t="shared" ca="1" si="44"/>
        <v>4560.4183832001718</v>
      </c>
      <c r="G377" s="26">
        <f t="shared" ca="1" si="45"/>
        <v>4560.8235174794136</v>
      </c>
      <c r="H377" t="str">
        <f t="shared" ca="1" si="46"/>
        <v>Static</v>
      </c>
      <c r="I377" s="26">
        <f t="shared" ca="1" si="47"/>
        <v>-0.40513427924179268</v>
      </c>
    </row>
    <row r="378" spans="1:9" x14ac:dyDescent="0.2">
      <c r="A378">
        <v>375</v>
      </c>
      <c r="B378" s="30">
        <f t="shared" ca="1" si="40"/>
        <v>0.72962880980425759</v>
      </c>
      <c r="C378" t="b">
        <f t="shared" ca="1" si="41"/>
        <v>0</v>
      </c>
      <c r="D378">
        <f t="shared" ca="1" si="42"/>
        <v>26</v>
      </c>
      <c r="E378">
        <f t="shared" ca="1" si="43"/>
        <v>30</v>
      </c>
      <c r="F378" s="26">
        <f t="shared" ca="1" si="44"/>
        <v>4557.6195029628843</v>
      </c>
      <c r="G378" s="26">
        <f t="shared" ca="1" si="45"/>
        <v>4559.5095275380982</v>
      </c>
      <c r="H378" t="str">
        <f t="shared" ca="1" si="46"/>
        <v>Static</v>
      </c>
      <c r="I378" s="26">
        <f t="shared" ca="1" si="47"/>
        <v>-1.8900245752138289</v>
      </c>
    </row>
    <row r="379" spans="1:9" x14ac:dyDescent="0.2">
      <c r="A379">
        <v>376</v>
      </c>
      <c r="B379" s="30">
        <f t="shared" ca="1" si="40"/>
        <v>0.13759966584229344</v>
      </c>
      <c r="C379" t="b">
        <f t="shared" ca="1" si="41"/>
        <v>1</v>
      </c>
      <c r="D379">
        <f t="shared" ca="1" si="42"/>
        <v>29</v>
      </c>
      <c r="E379">
        <f t="shared" ca="1" si="43"/>
        <v>29</v>
      </c>
      <c r="F379" s="26">
        <f t="shared" ca="1" si="44"/>
        <v>4562.0053429476211</v>
      </c>
      <c r="G379" s="26">
        <f t="shared" ca="1" si="45"/>
        <v>4545.4355384848222</v>
      </c>
      <c r="H379" t="str">
        <f t="shared" ca="1" si="46"/>
        <v>Reactive</v>
      </c>
      <c r="I379" s="26">
        <f t="shared" ca="1" si="47"/>
        <v>16.569804462798857</v>
      </c>
    </row>
    <row r="380" spans="1:9" x14ac:dyDescent="0.2">
      <c r="A380">
        <v>377</v>
      </c>
      <c r="B380" s="30">
        <f t="shared" ca="1" si="40"/>
        <v>0.65341742753070386</v>
      </c>
      <c r="C380" t="b">
        <f t="shared" ca="1" si="41"/>
        <v>0</v>
      </c>
      <c r="D380">
        <f t="shared" ca="1" si="42"/>
        <v>29</v>
      </c>
      <c r="E380">
        <f t="shared" ca="1" si="43"/>
        <v>30</v>
      </c>
      <c r="F380" s="26">
        <f t="shared" ca="1" si="44"/>
        <v>4559.1140946916721</v>
      </c>
      <c r="G380" s="26">
        <f t="shared" ca="1" si="45"/>
        <v>4560.7687693538055</v>
      </c>
      <c r="H380" t="str">
        <f t="shared" ca="1" si="46"/>
        <v>Static</v>
      </c>
      <c r="I380" s="26">
        <f t="shared" ca="1" si="47"/>
        <v>-1.6546746621334023</v>
      </c>
    </row>
    <row r="381" spans="1:9" x14ac:dyDescent="0.2">
      <c r="A381">
        <v>378</v>
      </c>
      <c r="B381" s="30">
        <f t="shared" ca="1" si="40"/>
        <v>0.58854543719004193</v>
      </c>
      <c r="C381" t="b">
        <f t="shared" ca="1" si="41"/>
        <v>0</v>
      </c>
      <c r="D381">
        <f t="shared" ca="1" si="42"/>
        <v>28</v>
      </c>
      <c r="E381">
        <f t="shared" ca="1" si="43"/>
        <v>30</v>
      </c>
      <c r="F381" s="26">
        <f t="shared" ca="1" si="44"/>
        <v>4559.3658761704364</v>
      </c>
      <c r="G381" s="26">
        <f t="shared" ca="1" si="45"/>
        <v>4557.8569093176484</v>
      </c>
      <c r="H381" t="str">
        <f t="shared" ca="1" si="46"/>
        <v>Reactive</v>
      </c>
      <c r="I381" s="26">
        <f t="shared" ca="1" si="47"/>
        <v>1.5089668527880349</v>
      </c>
    </row>
    <row r="382" spans="1:9" x14ac:dyDescent="0.2">
      <c r="A382">
        <v>379</v>
      </c>
      <c r="B382" s="30">
        <f t="shared" ca="1" si="40"/>
        <v>0.89982392461856653</v>
      </c>
      <c r="C382" t="b">
        <f t="shared" ca="1" si="41"/>
        <v>0</v>
      </c>
      <c r="D382">
        <f t="shared" ca="1" si="42"/>
        <v>27</v>
      </c>
      <c r="E382">
        <f t="shared" ca="1" si="43"/>
        <v>30</v>
      </c>
      <c r="F382" s="26">
        <f t="shared" ca="1" si="44"/>
        <v>4559.9656420927613</v>
      </c>
      <c r="G382" s="26">
        <f t="shared" ca="1" si="45"/>
        <v>4559.5532621593111</v>
      </c>
      <c r="H382" t="str">
        <f t="shared" ca="1" si="46"/>
        <v>Reactive</v>
      </c>
      <c r="I382" s="26">
        <f t="shared" ca="1" si="47"/>
        <v>0.41237993345021096</v>
      </c>
    </row>
    <row r="383" spans="1:9" x14ac:dyDescent="0.2">
      <c r="A383">
        <v>380</v>
      </c>
      <c r="B383" s="30">
        <f t="shared" ca="1" si="40"/>
        <v>0.1438539327507985</v>
      </c>
      <c r="C383" t="b">
        <f t="shared" ca="1" si="41"/>
        <v>1</v>
      </c>
      <c r="D383">
        <f t="shared" ca="1" si="42"/>
        <v>26</v>
      </c>
      <c r="E383">
        <f t="shared" ca="1" si="43"/>
        <v>26</v>
      </c>
      <c r="F383" s="26">
        <f t="shared" ca="1" si="44"/>
        <v>4558.0640252978465</v>
      </c>
      <c r="G383" s="26">
        <f t="shared" ca="1" si="45"/>
        <v>4541.5765434182704</v>
      </c>
      <c r="H383" t="str">
        <f t="shared" ca="1" si="46"/>
        <v>Reactive</v>
      </c>
      <c r="I383" s="26">
        <f t="shared" ca="1" si="47"/>
        <v>16.48748187957608</v>
      </c>
    </row>
    <row r="384" spans="1:9" x14ac:dyDescent="0.2">
      <c r="A384">
        <v>381</v>
      </c>
      <c r="B384" s="30">
        <f t="shared" ca="1" si="40"/>
        <v>0.21341219141797785</v>
      </c>
      <c r="C384" t="b">
        <f t="shared" ca="1" si="41"/>
        <v>1</v>
      </c>
      <c r="D384">
        <f t="shared" ca="1" si="42"/>
        <v>29</v>
      </c>
      <c r="E384">
        <f t="shared" ca="1" si="43"/>
        <v>29</v>
      </c>
      <c r="F384" s="26">
        <f t="shared" ca="1" si="44"/>
        <v>4558.5782854919971</v>
      </c>
      <c r="G384" s="26">
        <f t="shared" ca="1" si="45"/>
        <v>4541.0693577179263</v>
      </c>
      <c r="H384" t="str">
        <f t="shared" ca="1" si="46"/>
        <v>Reactive</v>
      </c>
      <c r="I384" s="26">
        <f t="shared" ca="1" si="47"/>
        <v>17.508927774070798</v>
      </c>
    </row>
    <row r="385" spans="1:9" x14ac:dyDescent="0.2">
      <c r="A385">
        <v>382</v>
      </c>
      <c r="B385" s="30">
        <f t="shared" ca="1" si="40"/>
        <v>0.25619309647455557</v>
      </c>
      <c r="C385" t="b">
        <f t="shared" ca="1" si="41"/>
        <v>1</v>
      </c>
      <c r="D385">
        <f t="shared" ca="1" si="42"/>
        <v>27</v>
      </c>
      <c r="E385">
        <f t="shared" ca="1" si="43"/>
        <v>27</v>
      </c>
      <c r="F385" s="26">
        <f t="shared" ca="1" si="44"/>
        <v>4560.7578750173343</v>
      </c>
      <c r="G385" s="26">
        <f t="shared" ca="1" si="45"/>
        <v>4543.4560972227519</v>
      </c>
      <c r="H385" t="str">
        <f t="shared" ca="1" si="46"/>
        <v>Reactive</v>
      </c>
      <c r="I385" s="26">
        <f t="shared" ca="1" si="47"/>
        <v>17.301777794582449</v>
      </c>
    </row>
    <row r="386" spans="1:9" x14ac:dyDescent="0.2">
      <c r="A386">
        <v>383</v>
      </c>
      <c r="B386" s="30">
        <f t="shared" ca="1" si="40"/>
        <v>0.16574674143352741</v>
      </c>
      <c r="C386" t="b">
        <f t="shared" ca="1" si="41"/>
        <v>1</v>
      </c>
      <c r="D386">
        <f t="shared" ca="1" si="42"/>
        <v>28</v>
      </c>
      <c r="E386">
        <f t="shared" ca="1" si="43"/>
        <v>28</v>
      </c>
      <c r="F386" s="26">
        <f t="shared" ca="1" si="44"/>
        <v>4559.4628022589905</v>
      </c>
      <c r="G386" s="26">
        <f t="shared" ca="1" si="45"/>
        <v>4544.2168020112413</v>
      </c>
      <c r="H386" t="str">
        <f t="shared" ca="1" si="46"/>
        <v>Reactive</v>
      </c>
      <c r="I386" s="26">
        <f t="shared" ca="1" si="47"/>
        <v>15.24600024774918</v>
      </c>
    </row>
    <row r="387" spans="1:9" x14ac:dyDescent="0.2">
      <c r="A387">
        <v>384</v>
      </c>
      <c r="B387" s="30">
        <f t="shared" ca="1" si="40"/>
        <v>0.71753996450918034</v>
      </c>
      <c r="C387" t="b">
        <f t="shared" ca="1" si="41"/>
        <v>0</v>
      </c>
      <c r="D387">
        <f t="shared" ca="1" si="42"/>
        <v>27</v>
      </c>
      <c r="E387">
        <f t="shared" ca="1" si="43"/>
        <v>30</v>
      </c>
      <c r="F387" s="26">
        <f t="shared" ca="1" si="44"/>
        <v>4558.2263118065921</v>
      </c>
      <c r="G387" s="26">
        <f t="shared" ca="1" si="45"/>
        <v>4560.0513991241551</v>
      </c>
      <c r="H387" t="str">
        <f t="shared" ca="1" si="46"/>
        <v>Static</v>
      </c>
      <c r="I387" s="26">
        <f t="shared" ca="1" si="47"/>
        <v>-1.8250873175629749</v>
      </c>
    </row>
    <row r="388" spans="1:9" x14ac:dyDescent="0.2">
      <c r="A388">
        <v>385</v>
      </c>
      <c r="B388" s="30">
        <f t="shared" ref="B388:B451" ca="1" si="48">RAND()</f>
        <v>9.5917412016591208E-2</v>
      </c>
      <c r="C388" t="b">
        <f t="shared" ref="C388:C451" ca="1" si="49">B388&lt;ProbSC</f>
        <v>1</v>
      </c>
      <c r="D388">
        <f t="shared" ref="D388:D451" ca="1" si="50">ReactMin+INT(RAND()*(ReactMax-ReactMin+1))</f>
        <v>30</v>
      </c>
      <c r="E388">
        <f t="shared" ref="E388:E451" ca="1" si="51">IF(C388,D388,MustLap)</f>
        <v>30</v>
      </c>
      <c r="F388" s="26">
        <f t="shared" ref="F388:F451" ca="1" si="52">BaseLap*Laps+Deg*(PlanLap*(PlanLap-1)/2+(Laps-PlanLap)*(Laps-PlanLap-1)/2)+PitGreen+NORMINV(RAND(),0,NoiseSD)</f>
        <v>4559.4728630850177</v>
      </c>
      <c r="G388" s="26">
        <f t="shared" ref="G388:G451" ca="1" si="53">BaseLap*Laps+Deg*(E388*(E388-1)/2+(Laps-E388)*(Laps-E388-1)/2)+IF(C388,PitSC,PitGreen)+NORMINV(RAND(),0,NoiseSD)</f>
        <v>4544.0640568526323</v>
      </c>
      <c r="H388" t="str">
        <f t="shared" ref="H388:H451" ca="1" si="54">IF(F388&lt;G388,"Static","Reactive")</f>
        <v>Reactive</v>
      </c>
      <c r="I388" s="26">
        <f t="shared" ref="I388:I451" ca="1" si="55">F388-G388</f>
        <v>15.408806232385359</v>
      </c>
    </row>
    <row r="389" spans="1:9" x14ac:dyDescent="0.2">
      <c r="A389">
        <v>386</v>
      </c>
      <c r="B389" s="30">
        <f t="shared" ca="1" si="48"/>
        <v>0.7598350111773724</v>
      </c>
      <c r="C389" t="b">
        <f t="shared" ca="1" si="49"/>
        <v>0</v>
      </c>
      <c r="D389">
        <f t="shared" ca="1" si="50"/>
        <v>29</v>
      </c>
      <c r="E389">
        <f t="shared" ca="1" si="51"/>
        <v>30</v>
      </c>
      <c r="F389" s="26">
        <f t="shared" ca="1" si="52"/>
        <v>4557.4533248252492</v>
      </c>
      <c r="G389" s="26">
        <f t="shared" ca="1" si="53"/>
        <v>4559.9332547611684</v>
      </c>
      <c r="H389" t="str">
        <f t="shared" ca="1" si="54"/>
        <v>Static</v>
      </c>
      <c r="I389" s="26">
        <f t="shared" ca="1" si="55"/>
        <v>-2.4799299359192446</v>
      </c>
    </row>
    <row r="390" spans="1:9" x14ac:dyDescent="0.2">
      <c r="A390">
        <v>387</v>
      </c>
      <c r="B390" s="30">
        <f t="shared" ca="1" si="48"/>
        <v>0.40616388675434389</v>
      </c>
      <c r="C390" t="b">
        <f t="shared" ca="1" si="49"/>
        <v>0</v>
      </c>
      <c r="D390">
        <f t="shared" ca="1" si="50"/>
        <v>26</v>
      </c>
      <c r="E390">
        <f t="shared" ca="1" si="51"/>
        <v>30</v>
      </c>
      <c r="F390" s="26">
        <f t="shared" ca="1" si="52"/>
        <v>4558.2423484095452</v>
      </c>
      <c r="G390" s="26">
        <f t="shared" ca="1" si="53"/>
        <v>4561.5654359842083</v>
      </c>
      <c r="H390" t="str">
        <f t="shared" ca="1" si="54"/>
        <v>Static</v>
      </c>
      <c r="I390" s="26">
        <f t="shared" ca="1" si="55"/>
        <v>-3.3230875746630772</v>
      </c>
    </row>
    <row r="391" spans="1:9" x14ac:dyDescent="0.2">
      <c r="A391">
        <v>388</v>
      </c>
      <c r="B391" s="30">
        <f t="shared" ca="1" si="48"/>
        <v>0.51726041850256677</v>
      </c>
      <c r="C391" t="b">
        <f t="shared" ca="1" si="49"/>
        <v>0</v>
      </c>
      <c r="D391">
        <f t="shared" ca="1" si="50"/>
        <v>29</v>
      </c>
      <c r="E391">
        <f t="shared" ca="1" si="51"/>
        <v>30</v>
      </c>
      <c r="F391" s="26">
        <f t="shared" ca="1" si="52"/>
        <v>4558.2863045813365</v>
      </c>
      <c r="G391" s="26">
        <f t="shared" ca="1" si="53"/>
        <v>4560.3492521116041</v>
      </c>
      <c r="H391" t="str">
        <f t="shared" ca="1" si="54"/>
        <v>Static</v>
      </c>
      <c r="I391" s="26">
        <f t="shared" ca="1" si="55"/>
        <v>-2.0629475302675928</v>
      </c>
    </row>
    <row r="392" spans="1:9" x14ac:dyDescent="0.2">
      <c r="A392">
        <v>389</v>
      </c>
      <c r="B392" s="30">
        <f t="shared" ca="1" si="48"/>
        <v>3.7514625782838151E-2</v>
      </c>
      <c r="C392" t="b">
        <f t="shared" ca="1" si="49"/>
        <v>1</v>
      </c>
      <c r="D392">
        <f t="shared" ca="1" si="50"/>
        <v>27</v>
      </c>
      <c r="E392">
        <f t="shared" ca="1" si="51"/>
        <v>27</v>
      </c>
      <c r="F392" s="26">
        <f t="shared" ca="1" si="52"/>
        <v>4557.9807522749452</v>
      </c>
      <c r="G392" s="26">
        <f t="shared" ca="1" si="53"/>
        <v>4543.3302840341967</v>
      </c>
      <c r="H392" t="str">
        <f t="shared" ca="1" si="54"/>
        <v>Reactive</v>
      </c>
      <c r="I392" s="26">
        <f t="shared" ca="1" si="55"/>
        <v>14.650468240748523</v>
      </c>
    </row>
    <row r="393" spans="1:9" x14ac:dyDescent="0.2">
      <c r="A393">
        <v>390</v>
      </c>
      <c r="B393" s="30">
        <f t="shared" ca="1" si="48"/>
        <v>0.52033775272080007</v>
      </c>
      <c r="C393" t="b">
        <f t="shared" ca="1" si="49"/>
        <v>0</v>
      </c>
      <c r="D393">
        <f t="shared" ca="1" si="50"/>
        <v>28</v>
      </c>
      <c r="E393">
        <f t="shared" ca="1" si="51"/>
        <v>30</v>
      </c>
      <c r="F393" s="26">
        <f t="shared" ca="1" si="52"/>
        <v>4558.3121349511612</v>
      </c>
      <c r="G393" s="26">
        <f t="shared" ca="1" si="53"/>
        <v>4560.6731289160853</v>
      </c>
      <c r="H393" t="str">
        <f t="shared" ca="1" si="54"/>
        <v>Static</v>
      </c>
      <c r="I393" s="26">
        <f t="shared" ca="1" si="55"/>
        <v>-2.3609939649240914</v>
      </c>
    </row>
    <row r="394" spans="1:9" x14ac:dyDescent="0.2">
      <c r="A394">
        <v>391</v>
      </c>
      <c r="B394" s="30">
        <f t="shared" ca="1" si="48"/>
        <v>0.86791459063788423</v>
      </c>
      <c r="C394" t="b">
        <f t="shared" ca="1" si="49"/>
        <v>0</v>
      </c>
      <c r="D394">
        <f t="shared" ca="1" si="50"/>
        <v>30</v>
      </c>
      <c r="E394">
        <f t="shared" ca="1" si="51"/>
        <v>30</v>
      </c>
      <c r="F394" s="26">
        <f t="shared" ca="1" si="52"/>
        <v>4559.3291488545119</v>
      </c>
      <c r="G394" s="26">
        <f t="shared" ca="1" si="53"/>
        <v>4559.2581544470268</v>
      </c>
      <c r="H394" t="str">
        <f t="shared" ca="1" si="54"/>
        <v>Reactive</v>
      </c>
      <c r="I394" s="26">
        <f t="shared" ca="1" si="55"/>
        <v>7.0994407485159172E-2</v>
      </c>
    </row>
    <row r="395" spans="1:9" x14ac:dyDescent="0.2">
      <c r="A395">
        <v>392</v>
      </c>
      <c r="B395" s="30">
        <f t="shared" ca="1" si="48"/>
        <v>0.94386716034928575</v>
      </c>
      <c r="C395" t="b">
        <f t="shared" ca="1" si="49"/>
        <v>0</v>
      </c>
      <c r="D395">
        <f t="shared" ca="1" si="50"/>
        <v>27</v>
      </c>
      <c r="E395">
        <f t="shared" ca="1" si="51"/>
        <v>30</v>
      </c>
      <c r="F395" s="26">
        <f t="shared" ca="1" si="52"/>
        <v>4559.7782053377805</v>
      </c>
      <c r="G395" s="26">
        <f t="shared" ca="1" si="53"/>
        <v>4561.8886687710155</v>
      </c>
      <c r="H395" t="str">
        <f t="shared" ca="1" si="54"/>
        <v>Static</v>
      </c>
      <c r="I395" s="26">
        <f t="shared" ca="1" si="55"/>
        <v>-2.1104634332350543</v>
      </c>
    </row>
    <row r="396" spans="1:9" x14ac:dyDescent="0.2">
      <c r="A396">
        <v>393</v>
      </c>
      <c r="B396" s="30">
        <f t="shared" ca="1" si="48"/>
        <v>0.62402398376538337</v>
      </c>
      <c r="C396" t="b">
        <f t="shared" ca="1" si="49"/>
        <v>0</v>
      </c>
      <c r="D396">
        <f t="shared" ca="1" si="50"/>
        <v>30</v>
      </c>
      <c r="E396">
        <f t="shared" ca="1" si="51"/>
        <v>30</v>
      </c>
      <c r="F396" s="26">
        <f t="shared" ca="1" si="52"/>
        <v>4558.980059303477</v>
      </c>
      <c r="G396" s="26">
        <f t="shared" ca="1" si="53"/>
        <v>4561.5597160570587</v>
      </c>
      <c r="H396" t="str">
        <f t="shared" ca="1" si="54"/>
        <v>Static</v>
      </c>
      <c r="I396" s="26">
        <f t="shared" ca="1" si="55"/>
        <v>-2.5796567535817303</v>
      </c>
    </row>
    <row r="397" spans="1:9" x14ac:dyDescent="0.2">
      <c r="A397">
        <v>394</v>
      </c>
      <c r="B397" s="30">
        <f t="shared" ca="1" si="48"/>
        <v>0.2601286834301002</v>
      </c>
      <c r="C397" t="b">
        <f t="shared" ca="1" si="49"/>
        <v>1</v>
      </c>
      <c r="D397">
        <f t="shared" ca="1" si="50"/>
        <v>30</v>
      </c>
      <c r="E397">
        <f t="shared" ca="1" si="51"/>
        <v>30</v>
      </c>
      <c r="F397" s="26">
        <f t="shared" ca="1" si="52"/>
        <v>4557.925122272085</v>
      </c>
      <c r="G397" s="26">
        <f t="shared" ca="1" si="53"/>
        <v>4541.27150494331</v>
      </c>
      <c r="H397" t="str">
        <f t="shared" ca="1" si="54"/>
        <v>Reactive</v>
      </c>
      <c r="I397" s="26">
        <f t="shared" ca="1" si="55"/>
        <v>16.653617328774999</v>
      </c>
    </row>
    <row r="398" spans="1:9" x14ac:dyDescent="0.2">
      <c r="A398">
        <v>395</v>
      </c>
      <c r="B398" s="30">
        <f t="shared" ca="1" si="48"/>
        <v>0.18377107507697787</v>
      </c>
      <c r="C398" t="b">
        <f t="shared" ca="1" si="49"/>
        <v>1</v>
      </c>
      <c r="D398">
        <f t="shared" ca="1" si="50"/>
        <v>28</v>
      </c>
      <c r="E398">
        <f t="shared" ca="1" si="51"/>
        <v>28</v>
      </c>
      <c r="F398" s="26">
        <f t="shared" ca="1" si="52"/>
        <v>4560.9716449777306</v>
      </c>
      <c r="G398" s="26">
        <f t="shared" ca="1" si="53"/>
        <v>4542.753416421805</v>
      </c>
      <c r="H398" t="str">
        <f t="shared" ca="1" si="54"/>
        <v>Reactive</v>
      </c>
      <c r="I398" s="26">
        <f t="shared" ca="1" si="55"/>
        <v>18.218228555925634</v>
      </c>
    </row>
    <row r="399" spans="1:9" x14ac:dyDescent="0.2">
      <c r="A399">
        <v>396</v>
      </c>
      <c r="B399" s="30">
        <f t="shared" ca="1" si="48"/>
        <v>0.1890230988422319</v>
      </c>
      <c r="C399" t="b">
        <f t="shared" ca="1" si="49"/>
        <v>1</v>
      </c>
      <c r="D399">
        <f t="shared" ca="1" si="50"/>
        <v>26</v>
      </c>
      <c r="E399">
        <f t="shared" ca="1" si="51"/>
        <v>26</v>
      </c>
      <c r="F399" s="26">
        <f t="shared" ca="1" si="52"/>
        <v>4560.956385615511</v>
      </c>
      <c r="G399" s="26">
        <f t="shared" ca="1" si="53"/>
        <v>4540.3034583466451</v>
      </c>
      <c r="H399" t="str">
        <f t="shared" ca="1" si="54"/>
        <v>Reactive</v>
      </c>
      <c r="I399" s="26">
        <f t="shared" ca="1" si="55"/>
        <v>20.652927268865824</v>
      </c>
    </row>
    <row r="400" spans="1:9" x14ac:dyDescent="0.2">
      <c r="A400">
        <v>397</v>
      </c>
      <c r="B400" s="30">
        <f t="shared" ca="1" si="48"/>
        <v>0.87398747513343344</v>
      </c>
      <c r="C400" t="b">
        <f t="shared" ca="1" si="49"/>
        <v>0</v>
      </c>
      <c r="D400">
        <f t="shared" ca="1" si="50"/>
        <v>27</v>
      </c>
      <c r="E400">
        <f t="shared" ca="1" si="51"/>
        <v>30</v>
      </c>
      <c r="F400" s="26">
        <f t="shared" ca="1" si="52"/>
        <v>4558.9825864518016</v>
      </c>
      <c r="G400" s="26">
        <f t="shared" ca="1" si="53"/>
        <v>4561.2456752882645</v>
      </c>
      <c r="H400" t="str">
        <f t="shared" ca="1" si="54"/>
        <v>Static</v>
      </c>
      <c r="I400" s="26">
        <f t="shared" ca="1" si="55"/>
        <v>-2.2630888364628845</v>
      </c>
    </row>
    <row r="401" spans="1:9" x14ac:dyDescent="0.2">
      <c r="A401">
        <v>398</v>
      </c>
      <c r="B401" s="30">
        <f t="shared" ca="1" si="48"/>
        <v>2.1209361159317042E-2</v>
      </c>
      <c r="C401" t="b">
        <f t="shared" ca="1" si="49"/>
        <v>1</v>
      </c>
      <c r="D401">
        <f t="shared" ca="1" si="50"/>
        <v>27</v>
      </c>
      <c r="E401">
        <f t="shared" ca="1" si="51"/>
        <v>27</v>
      </c>
      <c r="F401" s="26">
        <f t="shared" ca="1" si="52"/>
        <v>4558.5079641891007</v>
      </c>
      <c r="G401" s="26">
        <f t="shared" ca="1" si="53"/>
        <v>4541.9587188202067</v>
      </c>
      <c r="H401" t="str">
        <f t="shared" ca="1" si="54"/>
        <v>Reactive</v>
      </c>
      <c r="I401" s="26">
        <f t="shared" ca="1" si="55"/>
        <v>16.549245368893935</v>
      </c>
    </row>
    <row r="402" spans="1:9" x14ac:dyDescent="0.2">
      <c r="A402">
        <v>399</v>
      </c>
      <c r="B402" s="30">
        <f t="shared" ca="1" si="48"/>
        <v>0.933819041514797</v>
      </c>
      <c r="C402" t="b">
        <f t="shared" ca="1" si="49"/>
        <v>0</v>
      </c>
      <c r="D402">
        <f t="shared" ca="1" si="50"/>
        <v>28</v>
      </c>
      <c r="E402">
        <f t="shared" ca="1" si="51"/>
        <v>30</v>
      </c>
      <c r="F402" s="26">
        <f t="shared" ca="1" si="52"/>
        <v>4559.1385256800995</v>
      </c>
      <c r="G402" s="26">
        <f t="shared" ca="1" si="53"/>
        <v>4560.2454614767221</v>
      </c>
      <c r="H402" t="str">
        <f t="shared" ca="1" si="54"/>
        <v>Static</v>
      </c>
      <c r="I402" s="26">
        <f t="shared" ca="1" si="55"/>
        <v>-1.1069357966225652</v>
      </c>
    </row>
    <row r="403" spans="1:9" x14ac:dyDescent="0.2">
      <c r="A403">
        <v>400</v>
      </c>
      <c r="B403" s="30">
        <f t="shared" ca="1" si="48"/>
        <v>0.34375562428160544</v>
      </c>
      <c r="C403" t="b">
        <f t="shared" ca="1" si="49"/>
        <v>1</v>
      </c>
      <c r="D403">
        <f t="shared" ca="1" si="50"/>
        <v>29</v>
      </c>
      <c r="E403">
        <f t="shared" ca="1" si="51"/>
        <v>29</v>
      </c>
      <c r="F403" s="26">
        <f t="shared" ca="1" si="52"/>
        <v>4559.3478233794885</v>
      </c>
      <c r="G403" s="26">
        <f t="shared" ca="1" si="53"/>
        <v>4543.68741524902</v>
      </c>
      <c r="H403" t="str">
        <f t="shared" ca="1" si="54"/>
        <v>Reactive</v>
      </c>
      <c r="I403" s="26">
        <f t="shared" ca="1" si="55"/>
        <v>15.660408130468568</v>
      </c>
    </row>
    <row r="404" spans="1:9" x14ac:dyDescent="0.2">
      <c r="A404">
        <v>401</v>
      </c>
      <c r="B404" s="30">
        <f t="shared" ca="1" si="48"/>
        <v>0.46610331230509328</v>
      </c>
      <c r="C404" t="b">
        <f t="shared" ca="1" si="49"/>
        <v>0</v>
      </c>
      <c r="D404">
        <f t="shared" ca="1" si="50"/>
        <v>26</v>
      </c>
      <c r="E404">
        <f t="shared" ca="1" si="51"/>
        <v>30</v>
      </c>
      <c r="F404" s="26">
        <f t="shared" ca="1" si="52"/>
        <v>4558.3097556959474</v>
      </c>
      <c r="G404" s="26">
        <f t="shared" ca="1" si="53"/>
        <v>4558.8375508750869</v>
      </c>
      <c r="H404" t="str">
        <f t="shared" ca="1" si="54"/>
        <v>Static</v>
      </c>
      <c r="I404" s="26">
        <f t="shared" ca="1" si="55"/>
        <v>-0.52779517913950258</v>
      </c>
    </row>
    <row r="405" spans="1:9" x14ac:dyDescent="0.2">
      <c r="A405">
        <v>402</v>
      </c>
      <c r="B405" s="30">
        <f t="shared" ca="1" si="48"/>
        <v>0.8916524144527791</v>
      </c>
      <c r="C405" t="b">
        <f t="shared" ca="1" si="49"/>
        <v>0</v>
      </c>
      <c r="D405">
        <f t="shared" ca="1" si="50"/>
        <v>26</v>
      </c>
      <c r="E405">
        <f t="shared" ca="1" si="51"/>
        <v>30</v>
      </c>
      <c r="F405" s="26">
        <f t="shared" ca="1" si="52"/>
        <v>4560.3600121317995</v>
      </c>
      <c r="G405" s="26">
        <f t="shared" ca="1" si="53"/>
        <v>4560.1013466522681</v>
      </c>
      <c r="H405" t="str">
        <f t="shared" ca="1" si="54"/>
        <v>Reactive</v>
      </c>
      <c r="I405" s="26">
        <f t="shared" ca="1" si="55"/>
        <v>0.25866547953137342</v>
      </c>
    </row>
    <row r="406" spans="1:9" x14ac:dyDescent="0.2">
      <c r="A406">
        <v>403</v>
      </c>
      <c r="B406" s="30">
        <f t="shared" ca="1" si="48"/>
        <v>0.47400022846066625</v>
      </c>
      <c r="C406" t="b">
        <f t="shared" ca="1" si="49"/>
        <v>0</v>
      </c>
      <c r="D406">
        <f t="shared" ca="1" si="50"/>
        <v>30</v>
      </c>
      <c r="E406">
        <f t="shared" ca="1" si="51"/>
        <v>30</v>
      </c>
      <c r="F406" s="26">
        <f t="shared" ca="1" si="52"/>
        <v>4558.474658484859</v>
      </c>
      <c r="G406" s="26">
        <f t="shared" ca="1" si="53"/>
        <v>4559.0123405011891</v>
      </c>
      <c r="H406" t="str">
        <f t="shared" ca="1" si="54"/>
        <v>Static</v>
      </c>
      <c r="I406" s="26">
        <f t="shared" ca="1" si="55"/>
        <v>-0.53768201633010904</v>
      </c>
    </row>
    <row r="407" spans="1:9" x14ac:dyDescent="0.2">
      <c r="A407">
        <v>404</v>
      </c>
      <c r="B407" s="30">
        <f t="shared" ca="1" si="48"/>
        <v>0.19545379195229728</v>
      </c>
      <c r="C407" t="b">
        <f t="shared" ca="1" si="49"/>
        <v>1</v>
      </c>
      <c r="D407">
        <f t="shared" ca="1" si="50"/>
        <v>30</v>
      </c>
      <c r="E407">
        <f t="shared" ca="1" si="51"/>
        <v>30</v>
      </c>
      <c r="F407" s="26">
        <f t="shared" ca="1" si="52"/>
        <v>4559.0671690593008</v>
      </c>
      <c r="G407" s="26">
        <f t="shared" ca="1" si="53"/>
        <v>4543.3586010432882</v>
      </c>
      <c r="H407" t="str">
        <f t="shared" ca="1" si="54"/>
        <v>Reactive</v>
      </c>
      <c r="I407" s="26">
        <f t="shared" ca="1" si="55"/>
        <v>15.708568016012578</v>
      </c>
    </row>
    <row r="408" spans="1:9" x14ac:dyDescent="0.2">
      <c r="A408">
        <v>405</v>
      </c>
      <c r="B408" s="30">
        <f t="shared" ca="1" si="48"/>
        <v>0.41050537129563913</v>
      </c>
      <c r="C408" t="b">
        <f t="shared" ca="1" si="49"/>
        <v>0</v>
      </c>
      <c r="D408">
        <f t="shared" ca="1" si="50"/>
        <v>27</v>
      </c>
      <c r="E408">
        <f t="shared" ca="1" si="51"/>
        <v>30</v>
      </c>
      <c r="F408" s="26">
        <f t="shared" ca="1" si="52"/>
        <v>4559.0891204492627</v>
      </c>
      <c r="G408" s="26">
        <f t="shared" ca="1" si="53"/>
        <v>4562.696767357781</v>
      </c>
      <c r="H408" t="str">
        <f t="shared" ca="1" si="54"/>
        <v>Static</v>
      </c>
      <c r="I408" s="26">
        <f t="shared" ca="1" si="55"/>
        <v>-3.6076469085182907</v>
      </c>
    </row>
    <row r="409" spans="1:9" x14ac:dyDescent="0.2">
      <c r="A409">
        <v>406</v>
      </c>
      <c r="B409" s="30">
        <f t="shared" ca="1" si="48"/>
        <v>0.11589721179864099</v>
      </c>
      <c r="C409" t="b">
        <f t="shared" ca="1" si="49"/>
        <v>1</v>
      </c>
      <c r="D409">
        <f t="shared" ca="1" si="50"/>
        <v>28</v>
      </c>
      <c r="E409">
        <f t="shared" ca="1" si="51"/>
        <v>28</v>
      </c>
      <c r="F409" s="26">
        <f t="shared" ca="1" si="52"/>
        <v>4557.0826245952949</v>
      </c>
      <c r="G409" s="26">
        <f t="shared" ca="1" si="53"/>
        <v>4543.147378054392</v>
      </c>
      <c r="H409" t="str">
        <f t="shared" ca="1" si="54"/>
        <v>Reactive</v>
      </c>
      <c r="I409" s="26">
        <f t="shared" ca="1" si="55"/>
        <v>13.935246540902881</v>
      </c>
    </row>
    <row r="410" spans="1:9" x14ac:dyDescent="0.2">
      <c r="A410">
        <v>407</v>
      </c>
      <c r="B410" s="30">
        <f t="shared" ca="1" si="48"/>
        <v>0.16337593884560819</v>
      </c>
      <c r="C410" t="b">
        <f t="shared" ca="1" si="49"/>
        <v>1</v>
      </c>
      <c r="D410">
        <f t="shared" ca="1" si="50"/>
        <v>26</v>
      </c>
      <c r="E410">
        <f t="shared" ca="1" si="51"/>
        <v>26</v>
      </c>
      <c r="F410" s="26">
        <f t="shared" ca="1" si="52"/>
        <v>4559.0855738121199</v>
      </c>
      <c r="G410" s="26">
        <f t="shared" ca="1" si="53"/>
        <v>4542.0686923617404</v>
      </c>
      <c r="H410" t="str">
        <f t="shared" ca="1" si="54"/>
        <v>Reactive</v>
      </c>
      <c r="I410" s="26">
        <f t="shared" ca="1" si="55"/>
        <v>17.016881450379515</v>
      </c>
    </row>
    <row r="411" spans="1:9" x14ac:dyDescent="0.2">
      <c r="A411">
        <v>408</v>
      </c>
      <c r="B411" s="30">
        <f t="shared" ca="1" si="48"/>
        <v>0.46790658118215267</v>
      </c>
      <c r="C411" t="b">
        <f t="shared" ca="1" si="49"/>
        <v>0</v>
      </c>
      <c r="D411">
        <f t="shared" ca="1" si="50"/>
        <v>27</v>
      </c>
      <c r="E411">
        <f t="shared" ca="1" si="51"/>
        <v>30</v>
      </c>
      <c r="F411" s="26">
        <f t="shared" ca="1" si="52"/>
        <v>4558.8784313907072</v>
      </c>
      <c r="G411" s="26">
        <f t="shared" ca="1" si="53"/>
        <v>4560.0147254854737</v>
      </c>
      <c r="H411" t="str">
        <f t="shared" ca="1" si="54"/>
        <v>Static</v>
      </c>
      <c r="I411" s="26">
        <f t="shared" ca="1" si="55"/>
        <v>-1.1362940947665265</v>
      </c>
    </row>
    <row r="412" spans="1:9" x14ac:dyDescent="0.2">
      <c r="A412">
        <v>409</v>
      </c>
      <c r="B412" s="30">
        <f t="shared" ca="1" si="48"/>
        <v>0.87343286284242638</v>
      </c>
      <c r="C412" t="b">
        <f t="shared" ca="1" si="49"/>
        <v>0</v>
      </c>
      <c r="D412">
        <f t="shared" ca="1" si="50"/>
        <v>27</v>
      </c>
      <c r="E412">
        <f t="shared" ca="1" si="51"/>
        <v>30</v>
      </c>
      <c r="F412" s="26">
        <f t="shared" ca="1" si="52"/>
        <v>4559.5966807891591</v>
      </c>
      <c r="G412" s="26">
        <f t="shared" ca="1" si="53"/>
        <v>4558.1745823867614</v>
      </c>
      <c r="H412" t="str">
        <f t="shared" ca="1" si="54"/>
        <v>Reactive</v>
      </c>
      <c r="I412" s="26">
        <f t="shared" ca="1" si="55"/>
        <v>1.4220984023977508</v>
      </c>
    </row>
    <row r="413" spans="1:9" x14ac:dyDescent="0.2">
      <c r="A413">
        <v>410</v>
      </c>
      <c r="B413" s="30">
        <f t="shared" ca="1" si="48"/>
        <v>0.91360532323421073</v>
      </c>
      <c r="C413" t="b">
        <f t="shared" ca="1" si="49"/>
        <v>0</v>
      </c>
      <c r="D413">
        <f t="shared" ca="1" si="50"/>
        <v>26</v>
      </c>
      <c r="E413">
        <f t="shared" ca="1" si="51"/>
        <v>30</v>
      </c>
      <c r="F413" s="26">
        <f t="shared" ca="1" si="52"/>
        <v>4558.1407754765669</v>
      </c>
      <c r="G413" s="26">
        <f t="shared" ca="1" si="53"/>
        <v>4561.1257349405123</v>
      </c>
      <c r="H413" t="str">
        <f t="shared" ca="1" si="54"/>
        <v>Static</v>
      </c>
      <c r="I413" s="26">
        <f t="shared" ca="1" si="55"/>
        <v>-2.9849594639454153</v>
      </c>
    </row>
    <row r="414" spans="1:9" x14ac:dyDescent="0.2">
      <c r="A414">
        <v>411</v>
      </c>
      <c r="B414" s="30">
        <f t="shared" ca="1" si="48"/>
        <v>0.70826325351562436</v>
      </c>
      <c r="C414" t="b">
        <f t="shared" ca="1" si="49"/>
        <v>0</v>
      </c>
      <c r="D414">
        <f t="shared" ca="1" si="50"/>
        <v>28</v>
      </c>
      <c r="E414">
        <f t="shared" ca="1" si="51"/>
        <v>30</v>
      </c>
      <c r="F414" s="26">
        <f t="shared" ca="1" si="52"/>
        <v>4560.1443266906545</v>
      </c>
      <c r="G414" s="26">
        <f t="shared" ca="1" si="53"/>
        <v>4561.1449429778604</v>
      </c>
      <c r="H414" t="str">
        <f t="shared" ca="1" si="54"/>
        <v>Static</v>
      </c>
      <c r="I414" s="26">
        <f t="shared" ca="1" si="55"/>
        <v>-1.0006162872059576</v>
      </c>
    </row>
    <row r="415" spans="1:9" x14ac:dyDescent="0.2">
      <c r="A415">
        <v>412</v>
      </c>
      <c r="B415" s="30">
        <f t="shared" ca="1" si="48"/>
        <v>0.14262678523646011</v>
      </c>
      <c r="C415" t="b">
        <f t="shared" ca="1" si="49"/>
        <v>1</v>
      </c>
      <c r="D415">
        <f t="shared" ca="1" si="50"/>
        <v>26</v>
      </c>
      <c r="E415">
        <f t="shared" ca="1" si="51"/>
        <v>26</v>
      </c>
      <c r="F415" s="26">
        <f t="shared" ca="1" si="52"/>
        <v>4558.4184681311554</v>
      </c>
      <c r="G415" s="26">
        <f t="shared" ca="1" si="53"/>
        <v>4542.9777700874101</v>
      </c>
      <c r="H415" t="str">
        <f t="shared" ca="1" si="54"/>
        <v>Reactive</v>
      </c>
      <c r="I415" s="26">
        <f t="shared" ca="1" si="55"/>
        <v>15.440698043745215</v>
      </c>
    </row>
    <row r="416" spans="1:9" x14ac:dyDescent="0.2">
      <c r="A416">
        <v>413</v>
      </c>
      <c r="B416" s="30">
        <f t="shared" ca="1" si="48"/>
        <v>0.36728955919636785</v>
      </c>
      <c r="C416" t="b">
        <f t="shared" ca="1" si="49"/>
        <v>0</v>
      </c>
      <c r="D416">
        <f t="shared" ca="1" si="50"/>
        <v>26</v>
      </c>
      <c r="E416">
        <f t="shared" ca="1" si="51"/>
        <v>30</v>
      </c>
      <c r="F416" s="26">
        <f t="shared" ca="1" si="52"/>
        <v>4559.2679685650319</v>
      </c>
      <c r="G416" s="26">
        <f t="shared" ca="1" si="53"/>
        <v>4559.4673212599255</v>
      </c>
      <c r="H416" t="str">
        <f t="shared" ca="1" si="54"/>
        <v>Static</v>
      </c>
      <c r="I416" s="26">
        <f t="shared" ca="1" si="55"/>
        <v>-0.19935269489360508</v>
      </c>
    </row>
    <row r="417" spans="1:9" x14ac:dyDescent="0.2">
      <c r="A417">
        <v>414</v>
      </c>
      <c r="B417" s="30">
        <f t="shared" ca="1" si="48"/>
        <v>0.1832266704378912</v>
      </c>
      <c r="C417" t="b">
        <f t="shared" ca="1" si="49"/>
        <v>1</v>
      </c>
      <c r="D417">
        <f t="shared" ca="1" si="50"/>
        <v>29</v>
      </c>
      <c r="E417">
        <f t="shared" ca="1" si="51"/>
        <v>29</v>
      </c>
      <c r="F417" s="26">
        <f t="shared" ca="1" si="52"/>
        <v>4560.1536860664328</v>
      </c>
      <c r="G417" s="26">
        <f t="shared" ca="1" si="53"/>
        <v>4542.4813586653963</v>
      </c>
      <c r="H417" t="str">
        <f t="shared" ca="1" si="54"/>
        <v>Reactive</v>
      </c>
      <c r="I417" s="26">
        <f t="shared" ca="1" si="55"/>
        <v>17.672327401036455</v>
      </c>
    </row>
    <row r="418" spans="1:9" x14ac:dyDescent="0.2">
      <c r="A418">
        <v>415</v>
      </c>
      <c r="B418" s="30">
        <f t="shared" ca="1" si="48"/>
        <v>0.99443763796672591</v>
      </c>
      <c r="C418" t="b">
        <f t="shared" ca="1" si="49"/>
        <v>0</v>
      </c>
      <c r="D418">
        <f t="shared" ca="1" si="50"/>
        <v>27</v>
      </c>
      <c r="E418">
        <f t="shared" ca="1" si="51"/>
        <v>30</v>
      </c>
      <c r="F418" s="26">
        <f t="shared" ca="1" si="52"/>
        <v>4557.6725746105139</v>
      </c>
      <c r="G418" s="26">
        <f t="shared" ca="1" si="53"/>
        <v>4561.7309670968452</v>
      </c>
      <c r="H418" t="str">
        <f t="shared" ca="1" si="54"/>
        <v>Static</v>
      </c>
      <c r="I418" s="26">
        <f t="shared" ca="1" si="55"/>
        <v>-4.0583924863312859</v>
      </c>
    </row>
    <row r="419" spans="1:9" x14ac:dyDescent="0.2">
      <c r="A419">
        <v>416</v>
      </c>
      <c r="B419" s="30">
        <f t="shared" ca="1" si="48"/>
        <v>0.4559812521276968</v>
      </c>
      <c r="C419" t="b">
        <f t="shared" ca="1" si="49"/>
        <v>0</v>
      </c>
      <c r="D419">
        <f t="shared" ca="1" si="50"/>
        <v>27</v>
      </c>
      <c r="E419">
        <f t="shared" ca="1" si="51"/>
        <v>30</v>
      </c>
      <c r="F419" s="26">
        <f t="shared" ca="1" si="52"/>
        <v>4559.6568530805798</v>
      </c>
      <c r="G419" s="26">
        <f t="shared" ca="1" si="53"/>
        <v>4561.3274215492829</v>
      </c>
      <c r="H419" t="str">
        <f t="shared" ca="1" si="54"/>
        <v>Static</v>
      </c>
      <c r="I419" s="26">
        <f t="shared" ca="1" si="55"/>
        <v>-1.6705684687030953</v>
      </c>
    </row>
    <row r="420" spans="1:9" x14ac:dyDescent="0.2">
      <c r="A420">
        <v>417</v>
      </c>
      <c r="B420" s="30">
        <f t="shared" ca="1" si="48"/>
        <v>0.74272531234804173</v>
      </c>
      <c r="C420" t="b">
        <f t="shared" ca="1" si="49"/>
        <v>0</v>
      </c>
      <c r="D420">
        <f t="shared" ca="1" si="50"/>
        <v>28</v>
      </c>
      <c r="E420">
        <f t="shared" ca="1" si="51"/>
        <v>30</v>
      </c>
      <c r="F420" s="26">
        <f t="shared" ca="1" si="52"/>
        <v>4559.6660989575894</v>
      </c>
      <c r="G420" s="26">
        <f t="shared" ca="1" si="53"/>
        <v>4559.2997110175274</v>
      </c>
      <c r="H420" t="str">
        <f t="shared" ca="1" si="54"/>
        <v>Reactive</v>
      </c>
      <c r="I420" s="26">
        <f t="shared" ca="1" si="55"/>
        <v>0.36638794006194075</v>
      </c>
    </row>
    <row r="421" spans="1:9" x14ac:dyDescent="0.2">
      <c r="A421">
        <v>418</v>
      </c>
      <c r="B421" s="30">
        <f t="shared" ca="1" si="48"/>
        <v>0.94592835673390796</v>
      </c>
      <c r="C421" t="b">
        <f t="shared" ca="1" si="49"/>
        <v>0</v>
      </c>
      <c r="D421">
        <f t="shared" ca="1" si="50"/>
        <v>30</v>
      </c>
      <c r="E421">
        <f t="shared" ca="1" si="51"/>
        <v>30</v>
      </c>
      <c r="F421" s="26">
        <f t="shared" ca="1" si="52"/>
        <v>4559.7957894247629</v>
      </c>
      <c r="G421" s="26">
        <f t="shared" ca="1" si="53"/>
        <v>4560.5552443702663</v>
      </c>
      <c r="H421" t="str">
        <f t="shared" ca="1" si="54"/>
        <v>Static</v>
      </c>
      <c r="I421" s="26">
        <f t="shared" ca="1" si="55"/>
        <v>-0.75945494550342119</v>
      </c>
    </row>
    <row r="422" spans="1:9" x14ac:dyDescent="0.2">
      <c r="A422">
        <v>419</v>
      </c>
      <c r="B422" s="30">
        <f t="shared" ca="1" si="48"/>
        <v>0.42610621462238962</v>
      </c>
      <c r="C422" t="b">
        <f t="shared" ca="1" si="49"/>
        <v>0</v>
      </c>
      <c r="D422">
        <f t="shared" ca="1" si="50"/>
        <v>26</v>
      </c>
      <c r="E422">
        <f t="shared" ca="1" si="51"/>
        <v>30</v>
      </c>
      <c r="F422" s="26">
        <f t="shared" ca="1" si="52"/>
        <v>4558.7237876272711</v>
      </c>
      <c r="G422" s="26">
        <f t="shared" ca="1" si="53"/>
        <v>4561.4064523650131</v>
      </c>
      <c r="H422" t="str">
        <f t="shared" ca="1" si="54"/>
        <v>Static</v>
      </c>
      <c r="I422" s="26">
        <f t="shared" ca="1" si="55"/>
        <v>-2.6826647377420159</v>
      </c>
    </row>
    <row r="423" spans="1:9" x14ac:dyDescent="0.2">
      <c r="A423">
        <v>420</v>
      </c>
      <c r="B423" s="30">
        <f t="shared" ca="1" si="48"/>
        <v>0.98911320933195745</v>
      </c>
      <c r="C423" t="b">
        <f t="shared" ca="1" si="49"/>
        <v>0</v>
      </c>
      <c r="D423">
        <f t="shared" ca="1" si="50"/>
        <v>29</v>
      </c>
      <c r="E423">
        <f t="shared" ca="1" si="51"/>
        <v>30</v>
      </c>
      <c r="F423" s="26">
        <f t="shared" ca="1" si="52"/>
        <v>4557.8390977500685</v>
      </c>
      <c r="G423" s="26">
        <f t="shared" ca="1" si="53"/>
        <v>4561.5658752204527</v>
      </c>
      <c r="H423" t="str">
        <f t="shared" ca="1" si="54"/>
        <v>Static</v>
      </c>
      <c r="I423" s="26">
        <f t="shared" ca="1" si="55"/>
        <v>-3.7267774703841496</v>
      </c>
    </row>
    <row r="424" spans="1:9" x14ac:dyDescent="0.2">
      <c r="A424">
        <v>421</v>
      </c>
      <c r="B424" s="30">
        <f t="shared" ca="1" si="48"/>
        <v>0.89991846708854173</v>
      </c>
      <c r="C424" t="b">
        <f t="shared" ca="1" si="49"/>
        <v>0</v>
      </c>
      <c r="D424">
        <f t="shared" ca="1" si="50"/>
        <v>30</v>
      </c>
      <c r="E424">
        <f t="shared" ca="1" si="51"/>
        <v>30</v>
      </c>
      <c r="F424" s="26">
        <f t="shared" ca="1" si="52"/>
        <v>4559.4230610680088</v>
      </c>
      <c r="G424" s="26">
        <f t="shared" ca="1" si="53"/>
        <v>4560.0750858534238</v>
      </c>
      <c r="H424" t="str">
        <f t="shared" ca="1" si="54"/>
        <v>Static</v>
      </c>
      <c r="I424" s="26">
        <f t="shared" ca="1" si="55"/>
        <v>-0.65202478541505116</v>
      </c>
    </row>
    <row r="425" spans="1:9" x14ac:dyDescent="0.2">
      <c r="A425">
        <v>422</v>
      </c>
      <c r="B425" s="30">
        <f t="shared" ca="1" si="48"/>
        <v>0.79237590202410757</v>
      </c>
      <c r="C425" t="b">
        <f t="shared" ca="1" si="49"/>
        <v>0</v>
      </c>
      <c r="D425">
        <f t="shared" ca="1" si="50"/>
        <v>27</v>
      </c>
      <c r="E425">
        <f t="shared" ca="1" si="51"/>
        <v>30</v>
      </c>
      <c r="F425" s="26">
        <f t="shared" ca="1" si="52"/>
        <v>4558.8822381092441</v>
      </c>
      <c r="G425" s="26">
        <f t="shared" ca="1" si="53"/>
        <v>4561.1849174182007</v>
      </c>
      <c r="H425" t="str">
        <f t="shared" ca="1" si="54"/>
        <v>Static</v>
      </c>
      <c r="I425" s="26">
        <f t="shared" ca="1" si="55"/>
        <v>-2.3026793089566127</v>
      </c>
    </row>
    <row r="426" spans="1:9" x14ac:dyDescent="0.2">
      <c r="A426">
        <v>423</v>
      </c>
      <c r="B426" s="30">
        <f t="shared" ca="1" si="48"/>
        <v>0.74529167186239942</v>
      </c>
      <c r="C426" t="b">
        <f t="shared" ca="1" si="49"/>
        <v>0</v>
      </c>
      <c r="D426">
        <f t="shared" ca="1" si="50"/>
        <v>27</v>
      </c>
      <c r="E426">
        <f t="shared" ca="1" si="51"/>
        <v>30</v>
      </c>
      <c r="F426" s="26">
        <f t="shared" ca="1" si="52"/>
        <v>4560.0294209347885</v>
      </c>
      <c r="G426" s="26">
        <f t="shared" ca="1" si="53"/>
        <v>4559.1157397400057</v>
      </c>
      <c r="H426" t="str">
        <f t="shared" ca="1" si="54"/>
        <v>Reactive</v>
      </c>
      <c r="I426" s="26">
        <f t="shared" ca="1" si="55"/>
        <v>0.91368119478283916</v>
      </c>
    </row>
    <row r="427" spans="1:9" x14ac:dyDescent="0.2">
      <c r="A427">
        <v>424</v>
      </c>
      <c r="B427" s="30">
        <f t="shared" ca="1" si="48"/>
        <v>0.56086831486927091</v>
      </c>
      <c r="C427" t="b">
        <f t="shared" ca="1" si="49"/>
        <v>0</v>
      </c>
      <c r="D427">
        <f t="shared" ca="1" si="50"/>
        <v>30</v>
      </c>
      <c r="E427">
        <f t="shared" ca="1" si="51"/>
        <v>30</v>
      </c>
      <c r="F427" s="26">
        <f t="shared" ca="1" si="52"/>
        <v>4558.0678766626133</v>
      </c>
      <c r="G427" s="26">
        <f t="shared" ca="1" si="53"/>
        <v>4561.5111875811072</v>
      </c>
      <c r="H427" t="str">
        <f t="shared" ca="1" si="54"/>
        <v>Static</v>
      </c>
      <c r="I427" s="26">
        <f t="shared" ca="1" si="55"/>
        <v>-3.4433109184938075</v>
      </c>
    </row>
    <row r="428" spans="1:9" x14ac:dyDescent="0.2">
      <c r="A428">
        <v>425</v>
      </c>
      <c r="B428" s="30">
        <f t="shared" ca="1" si="48"/>
        <v>0.50446576174288804</v>
      </c>
      <c r="C428" t="b">
        <f t="shared" ca="1" si="49"/>
        <v>0</v>
      </c>
      <c r="D428">
        <f t="shared" ca="1" si="50"/>
        <v>26</v>
      </c>
      <c r="E428">
        <f t="shared" ca="1" si="51"/>
        <v>30</v>
      </c>
      <c r="F428" s="26">
        <f t="shared" ca="1" si="52"/>
        <v>4560.6921234813126</v>
      </c>
      <c r="G428" s="26">
        <f t="shared" ca="1" si="53"/>
        <v>4559.8006220552597</v>
      </c>
      <c r="H428" t="str">
        <f t="shared" ca="1" si="54"/>
        <v>Reactive</v>
      </c>
      <c r="I428" s="26">
        <f t="shared" ca="1" si="55"/>
        <v>0.89150142605285509</v>
      </c>
    </row>
    <row r="429" spans="1:9" x14ac:dyDescent="0.2">
      <c r="A429">
        <v>426</v>
      </c>
      <c r="B429" s="30">
        <f t="shared" ca="1" si="48"/>
        <v>0.80223554330715652</v>
      </c>
      <c r="C429" t="b">
        <f t="shared" ca="1" si="49"/>
        <v>0</v>
      </c>
      <c r="D429">
        <f t="shared" ca="1" si="50"/>
        <v>26</v>
      </c>
      <c r="E429">
        <f t="shared" ca="1" si="51"/>
        <v>30</v>
      </c>
      <c r="F429" s="26">
        <f t="shared" ca="1" si="52"/>
        <v>4558.0053348737147</v>
      </c>
      <c r="G429" s="26">
        <f t="shared" ca="1" si="53"/>
        <v>4558.127080875478</v>
      </c>
      <c r="H429" t="str">
        <f t="shared" ca="1" si="54"/>
        <v>Static</v>
      </c>
      <c r="I429" s="26">
        <f t="shared" ca="1" si="55"/>
        <v>-0.12174600176331296</v>
      </c>
    </row>
    <row r="430" spans="1:9" x14ac:dyDescent="0.2">
      <c r="A430">
        <v>427</v>
      </c>
      <c r="B430" s="30">
        <f t="shared" ca="1" si="48"/>
        <v>0.68608140294712616</v>
      </c>
      <c r="C430" t="b">
        <f t="shared" ca="1" si="49"/>
        <v>0</v>
      </c>
      <c r="D430">
        <f t="shared" ca="1" si="50"/>
        <v>30</v>
      </c>
      <c r="E430">
        <f t="shared" ca="1" si="51"/>
        <v>30</v>
      </c>
      <c r="F430" s="26">
        <f t="shared" ca="1" si="52"/>
        <v>4559.1457684625166</v>
      </c>
      <c r="G430" s="26">
        <f t="shared" ca="1" si="53"/>
        <v>4560.3022643748391</v>
      </c>
      <c r="H430" t="str">
        <f t="shared" ca="1" si="54"/>
        <v>Static</v>
      </c>
      <c r="I430" s="26">
        <f t="shared" ca="1" si="55"/>
        <v>-1.156495912322498</v>
      </c>
    </row>
    <row r="431" spans="1:9" x14ac:dyDescent="0.2">
      <c r="A431">
        <v>428</v>
      </c>
      <c r="B431" s="30">
        <f t="shared" ca="1" si="48"/>
        <v>0.75823641353821547</v>
      </c>
      <c r="C431" t="b">
        <f t="shared" ca="1" si="49"/>
        <v>0</v>
      </c>
      <c r="D431">
        <f t="shared" ca="1" si="50"/>
        <v>28</v>
      </c>
      <c r="E431">
        <f t="shared" ca="1" si="51"/>
        <v>30</v>
      </c>
      <c r="F431" s="26">
        <f t="shared" ca="1" si="52"/>
        <v>4557.9619633124703</v>
      </c>
      <c r="G431" s="26">
        <f t="shared" ca="1" si="53"/>
        <v>4562.1089018395669</v>
      </c>
      <c r="H431" t="str">
        <f t="shared" ca="1" si="54"/>
        <v>Static</v>
      </c>
      <c r="I431" s="26">
        <f t="shared" ca="1" si="55"/>
        <v>-4.1469385270966086</v>
      </c>
    </row>
    <row r="432" spans="1:9" x14ac:dyDescent="0.2">
      <c r="A432">
        <v>429</v>
      </c>
      <c r="B432" s="30">
        <f t="shared" ca="1" si="48"/>
        <v>0.14476367737217888</v>
      </c>
      <c r="C432" t="b">
        <f t="shared" ca="1" si="49"/>
        <v>1</v>
      </c>
      <c r="D432">
        <f t="shared" ca="1" si="50"/>
        <v>30</v>
      </c>
      <c r="E432">
        <f t="shared" ca="1" si="51"/>
        <v>30</v>
      </c>
      <c r="F432" s="26">
        <f t="shared" ca="1" si="52"/>
        <v>4559.4062348425468</v>
      </c>
      <c r="G432" s="26">
        <f t="shared" ca="1" si="53"/>
        <v>4544.4347004485853</v>
      </c>
      <c r="H432" t="str">
        <f t="shared" ca="1" si="54"/>
        <v>Reactive</v>
      </c>
      <c r="I432" s="26">
        <f t="shared" ca="1" si="55"/>
        <v>14.97153439396152</v>
      </c>
    </row>
    <row r="433" spans="1:9" x14ac:dyDescent="0.2">
      <c r="A433">
        <v>430</v>
      </c>
      <c r="B433" s="30">
        <f t="shared" ca="1" si="48"/>
        <v>0.23557366920296252</v>
      </c>
      <c r="C433" t="b">
        <f t="shared" ca="1" si="49"/>
        <v>1</v>
      </c>
      <c r="D433">
        <f t="shared" ca="1" si="50"/>
        <v>30</v>
      </c>
      <c r="E433">
        <f t="shared" ca="1" si="51"/>
        <v>30</v>
      </c>
      <c r="F433" s="26">
        <f t="shared" ca="1" si="52"/>
        <v>4559.9848222830151</v>
      </c>
      <c r="G433" s="26">
        <f t="shared" ca="1" si="53"/>
        <v>4542.6399860187994</v>
      </c>
      <c r="H433" t="str">
        <f t="shared" ca="1" si="54"/>
        <v>Reactive</v>
      </c>
      <c r="I433" s="26">
        <f t="shared" ca="1" si="55"/>
        <v>17.344836264215701</v>
      </c>
    </row>
    <row r="434" spans="1:9" x14ac:dyDescent="0.2">
      <c r="A434">
        <v>431</v>
      </c>
      <c r="B434" s="30">
        <f t="shared" ca="1" si="48"/>
        <v>0.77416429690950084</v>
      </c>
      <c r="C434" t="b">
        <f t="shared" ca="1" si="49"/>
        <v>0</v>
      </c>
      <c r="D434">
        <f t="shared" ca="1" si="50"/>
        <v>29</v>
      </c>
      <c r="E434">
        <f t="shared" ca="1" si="51"/>
        <v>30</v>
      </c>
      <c r="F434" s="26">
        <f t="shared" ca="1" si="52"/>
        <v>4559.3870167693631</v>
      </c>
      <c r="G434" s="26">
        <f t="shared" ca="1" si="53"/>
        <v>4561.1127091880808</v>
      </c>
      <c r="H434" t="str">
        <f t="shared" ca="1" si="54"/>
        <v>Static</v>
      </c>
      <c r="I434" s="26">
        <f t="shared" ca="1" si="55"/>
        <v>-1.7256924187176992</v>
      </c>
    </row>
    <row r="435" spans="1:9" x14ac:dyDescent="0.2">
      <c r="A435">
        <v>432</v>
      </c>
      <c r="B435" s="30">
        <f t="shared" ca="1" si="48"/>
        <v>0.52359668024971939</v>
      </c>
      <c r="C435" t="b">
        <f t="shared" ca="1" si="49"/>
        <v>0</v>
      </c>
      <c r="D435">
        <f t="shared" ca="1" si="50"/>
        <v>30</v>
      </c>
      <c r="E435">
        <f t="shared" ca="1" si="51"/>
        <v>30</v>
      </c>
      <c r="F435" s="26">
        <f t="shared" ca="1" si="52"/>
        <v>4558.0121290351572</v>
      </c>
      <c r="G435" s="26">
        <f t="shared" ca="1" si="53"/>
        <v>4559.7335994168652</v>
      </c>
      <c r="H435" t="str">
        <f t="shared" ca="1" si="54"/>
        <v>Static</v>
      </c>
      <c r="I435" s="26">
        <f t="shared" ca="1" si="55"/>
        <v>-1.721470381708059</v>
      </c>
    </row>
    <row r="436" spans="1:9" x14ac:dyDescent="0.2">
      <c r="A436">
        <v>433</v>
      </c>
      <c r="B436" s="30">
        <f t="shared" ca="1" si="48"/>
        <v>0.93696585857028358</v>
      </c>
      <c r="C436" t="b">
        <f t="shared" ca="1" si="49"/>
        <v>0</v>
      </c>
      <c r="D436">
        <f t="shared" ca="1" si="50"/>
        <v>27</v>
      </c>
      <c r="E436">
        <f t="shared" ca="1" si="51"/>
        <v>30</v>
      </c>
      <c r="F436" s="26">
        <f t="shared" ca="1" si="52"/>
        <v>4559.1713627384452</v>
      </c>
      <c r="G436" s="26">
        <f t="shared" ca="1" si="53"/>
        <v>4558.8117757031196</v>
      </c>
      <c r="H436" t="str">
        <f t="shared" ca="1" si="54"/>
        <v>Reactive</v>
      </c>
      <c r="I436" s="26">
        <f t="shared" ca="1" si="55"/>
        <v>0.35958703532560321</v>
      </c>
    </row>
    <row r="437" spans="1:9" x14ac:dyDescent="0.2">
      <c r="A437">
        <v>434</v>
      </c>
      <c r="B437" s="30">
        <f t="shared" ca="1" si="48"/>
        <v>0.70109758856530191</v>
      </c>
      <c r="C437" t="b">
        <f t="shared" ca="1" si="49"/>
        <v>0</v>
      </c>
      <c r="D437">
        <f t="shared" ca="1" si="50"/>
        <v>26</v>
      </c>
      <c r="E437">
        <f t="shared" ca="1" si="51"/>
        <v>30</v>
      </c>
      <c r="F437" s="26">
        <f t="shared" ca="1" si="52"/>
        <v>4561.0336680050796</v>
      </c>
      <c r="G437" s="26">
        <f t="shared" ca="1" si="53"/>
        <v>4559.7032094497354</v>
      </c>
      <c r="H437" t="str">
        <f t="shared" ca="1" si="54"/>
        <v>Reactive</v>
      </c>
      <c r="I437" s="26">
        <f t="shared" ca="1" si="55"/>
        <v>1.3304585553441939</v>
      </c>
    </row>
    <row r="438" spans="1:9" x14ac:dyDescent="0.2">
      <c r="A438">
        <v>435</v>
      </c>
      <c r="B438" s="30">
        <f t="shared" ca="1" si="48"/>
        <v>1.1663284094384663E-2</v>
      </c>
      <c r="C438" t="b">
        <f t="shared" ca="1" si="49"/>
        <v>1</v>
      </c>
      <c r="D438">
        <f t="shared" ca="1" si="50"/>
        <v>28</v>
      </c>
      <c r="E438">
        <f t="shared" ca="1" si="51"/>
        <v>28</v>
      </c>
      <c r="F438" s="26">
        <f t="shared" ca="1" si="52"/>
        <v>4558.7246969241014</v>
      </c>
      <c r="G438" s="26">
        <f t="shared" ca="1" si="53"/>
        <v>4542.7919131151866</v>
      </c>
      <c r="H438" t="str">
        <f t="shared" ca="1" si="54"/>
        <v>Reactive</v>
      </c>
      <c r="I438" s="26">
        <f t="shared" ca="1" si="55"/>
        <v>15.932783808914792</v>
      </c>
    </row>
    <row r="439" spans="1:9" x14ac:dyDescent="0.2">
      <c r="A439">
        <v>436</v>
      </c>
      <c r="B439" s="30">
        <f t="shared" ca="1" si="48"/>
        <v>0.57229460697754653</v>
      </c>
      <c r="C439" t="b">
        <f t="shared" ca="1" si="49"/>
        <v>0</v>
      </c>
      <c r="D439">
        <f t="shared" ca="1" si="50"/>
        <v>30</v>
      </c>
      <c r="E439">
        <f t="shared" ca="1" si="51"/>
        <v>30</v>
      </c>
      <c r="F439" s="26">
        <f t="shared" ca="1" si="52"/>
        <v>4558.8699708622826</v>
      </c>
      <c r="G439" s="26">
        <f t="shared" ca="1" si="53"/>
        <v>4561.5454644218007</v>
      </c>
      <c r="H439" t="str">
        <f t="shared" ca="1" si="54"/>
        <v>Static</v>
      </c>
      <c r="I439" s="26">
        <f t="shared" ca="1" si="55"/>
        <v>-2.675493559518145</v>
      </c>
    </row>
    <row r="440" spans="1:9" x14ac:dyDescent="0.2">
      <c r="A440">
        <v>437</v>
      </c>
      <c r="B440" s="30">
        <f t="shared" ca="1" si="48"/>
        <v>0.92473023805562471</v>
      </c>
      <c r="C440" t="b">
        <f t="shared" ca="1" si="49"/>
        <v>0</v>
      </c>
      <c r="D440">
        <f t="shared" ca="1" si="50"/>
        <v>29</v>
      </c>
      <c r="E440">
        <f t="shared" ca="1" si="51"/>
        <v>30</v>
      </c>
      <c r="F440" s="26">
        <f t="shared" ca="1" si="52"/>
        <v>4558.3600370039339</v>
      </c>
      <c r="G440" s="26">
        <f t="shared" ca="1" si="53"/>
        <v>4559.6380482853046</v>
      </c>
      <c r="H440" t="str">
        <f t="shared" ca="1" si="54"/>
        <v>Static</v>
      </c>
      <c r="I440" s="26">
        <f t="shared" ca="1" si="55"/>
        <v>-1.2780112813707092</v>
      </c>
    </row>
    <row r="441" spans="1:9" x14ac:dyDescent="0.2">
      <c r="A441">
        <v>438</v>
      </c>
      <c r="B441" s="30">
        <f t="shared" ca="1" si="48"/>
        <v>0.53542052392807715</v>
      </c>
      <c r="C441" t="b">
        <f t="shared" ca="1" si="49"/>
        <v>0</v>
      </c>
      <c r="D441">
        <f t="shared" ca="1" si="50"/>
        <v>30</v>
      </c>
      <c r="E441">
        <f t="shared" ca="1" si="51"/>
        <v>30</v>
      </c>
      <c r="F441" s="26">
        <f t="shared" ca="1" si="52"/>
        <v>4557.9447466248794</v>
      </c>
      <c r="G441" s="26">
        <f t="shared" ca="1" si="53"/>
        <v>4559.2221312774927</v>
      </c>
      <c r="H441" t="str">
        <f t="shared" ca="1" si="54"/>
        <v>Static</v>
      </c>
      <c r="I441" s="26">
        <f t="shared" ca="1" si="55"/>
        <v>-1.2773846526133639</v>
      </c>
    </row>
    <row r="442" spans="1:9" x14ac:dyDescent="0.2">
      <c r="A442">
        <v>439</v>
      </c>
      <c r="B442" s="30">
        <f t="shared" ca="1" si="48"/>
        <v>0.38098524435335757</v>
      </c>
      <c r="C442" t="b">
        <f t="shared" ca="1" si="49"/>
        <v>0</v>
      </c>
      <c r="D442">
        <f t="shared" ca="1" si="50"/>
        <v>27</v>
      </c>
      <c r="E442">
        <f t="shared" ca="1" si="51"/>
        <v>30</v>
      </c>
      <c r="F442" s="26">
        <f t="shared" ca="1" si="52"/>
        <v>4560.3412746820286</v>
      </c>
      <c r="G442" s="26">
        <f t="shared" ca="1" si="53"/>
        <v>4561.5365697829448</v>
      </c>
      <c r="H442" t="str">
        <f t="shared" ca="1" si="54"/>
        <v>Static</v>
      </c>
      <c r="I442" s="26">
        <f t="shared" ca="1" si="55"/>
        <v>-1.1952951009161552</v>
      </c>
    </row>
    <row r="443" spans="1:9" x14ac:dyDescent="0.2">
      <c r="A443">
        <v>440</v>
      </c>
      <c r="B443" s="30">
        <f t="shared" ca="1" si="48"/>
        <v>0.91306966145700241</v>
      </c>
      <c r="C443" t="b">
        <f t="shared" ca="1" si="49"/>
        <v>0</v>
      </c>
      <c r="D443">
        <f t="shared" ca="1" si="50"/>
        <v>30</v>
      </c>
      <c r="E443">
        <f t="shared" ca="1" si="51"/>
        <v>30</v>
      </c>
      <c r="F443" s="26">
        <f t="shared" ca="1" si="52"/>
        <v>4559.9084126521193</v>
      </c>
      <c r="G443" s="26">
        <f t="shared" ca="1" si="53"/>
        <v>4560.5320074847459</v>
      </c>
      <c r="H443" t="str">
        <f t="shared" ca="1" si="54"/>
        <v>Static</v>
      </c>
      <c r="I443" s="26">
        <f t="shared" ca="1" si="55"/>
        <v>-0.62359483262662252</v>
      </c>
    </row>
    <row r="444" spans="1:9" x14ac:dyDescent="0.2">
      <c r="A444">
        <v>441</v>
      </c>
      <c r="B444" s="30">
        <f t="shared" ca="1" si="48"/>
        <v>1.5737136463280454E-2</v>
      </c>
      <c r="C444" t="b">
        <f t="shared" ca="1" si="49"/>
        <v>1</v>
      </c>
      <c r="D444">
        <f t="shared" ca="1" si="50"/>
        <v>27</v>
      </c>
      <c r="E444">
        <f t="shared" ca="1" si="51"/>
        <v>27</v>
      </c>
      <c r="F444" s="26">
        <f t="shared" ca="1" si="52"/>
        <v>4559.5971623546857</v>
      </c>
      <c r="G444" s="26">
        <f t="shared" ca="1" si="53"/>
        <v>4542.7997697044866</v>
      </c>
      <c r="H444" t="str">
        <f t="shared" ca="1" si="54"/>
        <v>Reactive</v>
      </c>
      <c r="I444" s="26">
        <f t="shared" ca="1" si="55"/>
        <v>16.797392650199072</v>
      </c>
    </row>
    <row r="445" spans="1:9" x14ac:dyDescent="0.2">
      <c r="A445">
        <v>442</v>
      </c>
      <c r="B445" s="30">
        <f t="shared" ca="1" si="48"/>
        <v>0.649138442310219</v>
      </c>
      <c r="C445" t="b">
        <f t="shared" ca="1" si="49"/>
        <v>0</v>
      </c>
      <c r="D445">
        <f t="shared" ca="1" si="50"/>
        <v>26</v>
      </c>
      <c r="E445">
        <f t="shared" ca="1" si="51"/>
        <v>30</v>
      </c>
      <c r="F445" s="26">
        <f t="shared" ca="1" si="52"/>
        <v>4559.708706643587</v>
      </c>
      <c r="G445" s="26">
        <f t="shared" ca="1" si="53"/>
        <v>4561.4543122881869</v>
      </c>
      <c r="H445" t="str">
        <f t="shared" ca="1" si="54"/>
        <v>Static</v>
      </c>
      <c r="I445" s="26">
        <f t="shared" ca="1" si="55"/>
        <v>-1.7456056445998911</v>
      </c>
    </row>
    <row r="446" spans="1:9" x14ac:dyDescent="0.2">
      <c r="A446">
        <v>443</v>
      </c>
      <c r="B446" s="30">
        <f t="shared" ca="1" si="48"/>
        <v>0.47718310184445611</v>
      </c>
      <c r="C446" t="b">
        <f t="shared" ca="1" si="49"/>
        <v>0</v>
      </c>
      <c r="D446">
        <f t="shared" ca="1" si="50"/>
        <v>29</v>
      </c>
      <c r="E446">
        <f t="shared" ca="1" si="51"/>
        <v>30</v>
      </c>
      <c r="F446" s="26">
        <f t="shared" ca="1" si="52"/>
        <v>4559.5096811826779</v>
      </c>
      <c r="G446" s="26">
        <f t="shared" ca="1" si="53"/>
        <v>4560.1396417361893</v>
      </c>
      <c r="H446" t="str">
        <f t="shared" ca="1" si="54"/>
        <v>Static</v>
      </c>
      <c r="I446" s="26">
        <f t="shared" ca="1" si="55"/>
        <v>-0.62996055351140967</v>
      </c>
    </row>
    <row r="447" spans="1:9" x14ac:dyDescent="0.2">
      <c r="A447">
        <v>444</v>
      </c>
      <c r="B447" s="30">
        <f t="shared" ca="1" si="48"/>
        <v>0.19318101303505641</v>
      </c>
      <c r="C447" t="b">
        <f t="shared" ca="1" si="49"/>
        <v>1</v>
      </c>
      <c r="D447">
        <f t="shared" ca="1" si="50"/>
        <v>29</v>
      </c>
      <c r="E447">
        <f t="shared" ca="1" si="51"/>
        <v>29</v>
      </c>
      <c r="F447" s="26">
        <f t="shared" ca="1" si="52"/>
        <v>4559.243256139901</v>
      </c>
      <c r="G447" s="26">
        <f t="shared" ca="1" si="53"/>
        <v>4542.9913083899637</v>
      </c>
      <c r="H447" t="str">
        <f t="shared" ca="1" si="54"/>
        <v>Reactive</v>
      </c>
      <c r="I447" s="26">
        <f t="shared" ca="1" si="55"/>
        <v>16.251947749937244</v>
      </c>
    </row>
    <row r="448" spans="1:9" x14ac:dyDescent="0.2">
      <c r="A448">
        <v>445</v>
      </c>
      <c r="B448" s="30">
        <f t="shared" ca="1" si="48"/>
        <v>1.2284155963481203E-3</v>
      </c>
      <c r="C448" t="b">
        <f t="shared" ca="1" si="49"/>
        <v>1</v>
      </c>
      <c r="D448">
        <f t="shared" ca="1" si="50"/>
        <v>28</v>
      </c>
      <c r="E448">
        <f t="shared" ca="1" si="51"/>
        <v>28</v>
      </c>
      <c r="F448" s="26">
        <f t="shared" ca="1" si="52"/>
        <v>4561.445600936303</v>
      </c>
      <c r="G448" s="26">
        <f t="shared" ca="1" si="53"/>
        <v>4540.7880143826687</v>
      </c>
      <c r="H448" t="str">
        <f t="shared" ca="1" si="54"/>
        <v>Reactive</v>
      </c>
      <c r="I448" s="26">
        <f t="shared" ca="1" si="55"/>
        <v>20.657586553634246</v>
      </c>
    </row>
    <row r="449" spans="1:9" x14ac:dyDescent="0.2">
      <c r="A449">
        <v>446</v>
      </c>
      <c r="B449" s="30">
        <f t="shared" ca="1" si="48"/>
        <v>0.85467374269866003</v>
      </c>
      <c r="C449" t="b">
        <f t="shared" ca="1" si="49"/>
        <v>0</v>
      </c>
      <c r="D449">
        <f t="shared" ca="1" si="50"/>
        <v>28</v>
      </c>
      <c r="E449">
        <f t="shared" ca="1" si="51"/>
        <v>30</v>
      </c>
      <c r="F449" s="26">
        <f t="shared" ca="1" si="52"/>
        <v>4559.9354866731483</v>
      </c>
      <c r="G449" s="26">
        <f t="shared" ca="1" si="53"/>
        <v>4562.1503045838863</v>
      </c>
      <c r="H449" t="str">
        <f t="shared" ca="1" si="54"/>
        <v>Static</v>
      </c>
      <c r="I449" s="26">
        <f t="shared" ca="1" si="55"/>
        <v>-2.2148179107380201</v>
      </c>
    </row>
    <row r="450" spans="1:9" x14ac:dyDescent="0.2">
      <c r="A450">
        <v>447</v>
      </c>
      <c r="B450" s="30">
        <f t="shared" ca="1" si="48"/>
        <v>6.5685121575212002E-2</v>
      </c>
      <c r="C450" t="b">
        <f t="shared" ca="1" si="49"/>
        <v>1</v>
      </c>
      <c r="D450">
        <f t="shared" ca="1" si="50"/>
        <v>28</v>
      </c>
      <c r="E450">
        <f t="shared" ca="1" si="51"/>
        <v>28</v>
      </c>
      <c r="F450" s="26">
        <f t="shared" ca="1" si="52"/>
        <v>4559.4437311757483</v>
      </c>
      <c r="G450" s="26">
        <f t="shared" ca="1" si="53"/>
        <v>4542.9031611070359</v>
      </c>
      <c r="H450" t="str">
        <f t="shared" ca="1" si="54"/>
        <v>Reactive</v>
      </c>
      <c r="I450" s="26">
        <f t="shared" ca="1" si="55"/>
        <v>16.540570068712441</v>
      </c>
    </row>
    <row r="451" spans="1:9" x14ac:dyDescent="0.2">
      <c r="A451">
        <v>448</v>
      </c>
      <c r="B451" s="30">
        <f t="shared" ca="1" si="48"/>
        <v>0.98255818578148657</v>
      </c>
      <c r="C451" t="b">
        <f t="shared" ca="1" si="49"/>
        <v>0</v>
      </c>
      <c r="D451">
        <f t="shared" ca="1" si="50"/>
        <v>26</v>
      </c>
      <c r="E451">
        <f t="shared" ca="1" si="51"/>
        <v>30</v>
      </c>
      <c r="F451" s="26">
        <f t="shared" ca="1" si="52"/>
        <v>4557.4473794668702</v>
      </c>
      <c r="G451" s="26">
        <f t="shared" ca="1" si="53"/>
        <v>4560.2190376290546</v>
      </c>
      <c r="H451" t="str">
        <f t="shared" ca="1" si="54"/>
        <v>Static</v>
      </c>
      <c r="I451" s="26">
        <f t="shared" ca="1" si="55"/>
        <v>-2.7716581621843943</v>
      </c>
    </row>
    <row r="452" spans="1:9" x14ac:dyDescent="0.2">
      <c r="A452">
        <v>449</v>
      </c>
      <c r="B452" s="30">
        <f t="shared" ref="B452:B515" ca="1" si="56">RAND()</f>
        <v>0.84139508560532128</v>
      </c>
      <c r="C452" t="b">
        <f t="shared" ref="C452:C515" ca="1" si="57">B452&lt;ProbSC</f>
        <v>0</v>
      </c>
      <c r="D452">
        <f t="shared" ref="D452:D515" ca="1" si="58">ReactMin+INT(RAND()*(ReactMax-ReactMin+1))</f>
        <v>29</v>
      </c>
      <c r="E452">
        <f t="shared" ref="E452:E515" ca="1" si="59">IF(C452,D452,MustLap)</f>
        <v>30</v>
      </c>
      <c r="F452" s="26">
        <f t="shared" ref="F452:F515" ca="1" si="60">BaseLap*Laps+Deg*(PlanLap*(PlanLap-1)/2+(Laps-PlanLap)*(Laps-PlanLap-1)/2)+PitGreen+NORMINV(RAND(),0,NoiseSD)</f>
        <v>4558.5106592676921</v>
      </c>
      <c r="G452" s="26">
        <f t="shared" ref="G452:G515" ca="1" si="61">BaseLap*Laps+Deg*(E452*(E452-1)/2+(Laps-E452)*(Laps-E452-1)/2)+IF(C452,PitSC,PitGreen)+NORMINV(RAND(),0,NoiseSD)</f>
        <v>4560.6384442833269</v>
      </c>
      <c r="H452" t="str">
        <f t="shared" ref="H452:H515" ca="1" si="62">IF(F452&lt;G452,"Static","Reactive")</f>
        <v>Static</v>
      </c>
      <c r="I452" s="26">
        <f t="shared" ref="I452:I515" ca="1" si="63">F452-G452</f>
        <v>-2.1277850156347995</v>
      </c>
    </row>
    <row r="453" spans="1:9" x14ac:dyDescent="0.2">
      <c r="A453">
        <v>450</v>
      </c>
      <c r="B453" s="30">
        <f t="shared" ca="1" si="56"/>
        <v>0.55919939008452169</v>
      </c>
      <c r="C453" t="b">
        <f t="shared" ca="1" si="57"/>
        <v>0</v>
      </c>
      <c r="D453">
        <f t="shared" ca="1" si="58"/>
        <v>28</v>
      </c>
      <c r="E453">
        <f t="shared" ca="1" si="59"/>
        <v>30</v>
      </c>
      <c r="F453" s="26">
        <f t="shared" ca="1" si="60"/>
        <v>4558.907125330411</v>
      </c>
      <c r="G453" s="26">
        <f t="shared" ca="1" si="61"/>
        <v>4560.0902082001103</v>
      </c>
      <c r="H453" t="str">
        <f t="shared" ca="1" si="62"/>
        <v>Static</v>
      </c>
      <c r="I453" s="26">
        <f t="shared" ca="1" si="63"/>
        <v>-1.1830828696993194</v>
      </c>
    </row>
    <row r="454" spans="1:9" x14ac:dyDescent="0.2">
      <c r="A454">
        <v>451</v>
      </c>
      <c r="B454" s="30">
        <f t="shared" ca="1" si="56"/>
        <v>0.55683938904671593</v>
      </c>
      <c r="C454" t="b">
        <f t="shared" ca="1" si="57"/>
        <v>0</v>
      </c>
      <c r="D454">
        <f t="shared" ca="1" si="58"/>
        <v>29</v>
      </c>
      <c r="E454">
        <f t="shared" ca="1" si="59"/>
        <v>30</v>
      </c>
      <c r="F454" s="26">
        <f t="shared" ca="1" si="60"/>
        <v>4558.2768622198864</v>
      </c>
      <c r="G454" s="26">
        <f t="shared" ca="1" si="61"/>
        <v>4560.626802717552</v>
      </c>
      <c r="H454" t="str">
        <f t="shared" ca="1" si="62"/>
        <v>Static</v>
      </c>
      <c r="I454" s="26">
        <f t="shared" ca="1" si="63"/>
        <v>-2.3499404976655569</v>
      </c>
    </row>
    <row r="455" spans="1:9" x14ac:dyDescent="0.2">
      <c r="A455">
        <v>452</v>
      </c>
      <c r="B455" s="30">
        <f t="shared" ca="1" si="56"/>
        <v>0.98271059546995998</v>
      </c>
      <c r="C455" t="b">
        <f t="shared" ca="1" si="57"/>
        <v>0</v>
      </c>
      <c r="D455">
        <f t="shared" ca="1" si="58"/>
        <v>28</v>
      </c>
      <c r="E455">
        <f t="shared" ca="1" si="59"/>
        <v>30</v>
      </c>
      <c r="F455" s="26">
        <f t="shared" ca="1" si="60"/>
        <v>4558.3602148813352</v>
      </c>
      <c r="G455" s="26">
        <f t="shared" ca="1" si="61"/>
        <v>4561.463250980556</v>
      </c>
      <c r="H455" t="str">
        <f t="shared" ca="1" si="62"/>
        <v>Static</v>
      </c>
      <c r="I455" s="26">
        <f t="shared" ca="1" si="63"/>
        <v>-3.1030360992208443</v>
      </c>
    </row>
    <row r="456" spans="1:9" x14ac:dyDescent="0.2">
      <c r="A456">
        <v>453</v>
      </c>
      <c r="B456" s="30">
        <f t="shared" ca="1" si="56"/>
        <v>0.11748038207905043</v>
      </c>
      <c r="C456" t="b">
        <f t="shared" ca="1" si="57"/>
        <v>1</v>
      </c>
      <c r="D456">
        <f t="shared" ca="1" si="58"/>
        <v>28</v>
      </c>
      <c r="E456">
        <f t="shared" ca="1" si="59"/>
        <v>28</v>
      </c>
      <c r="F456" s="26">
        <f t="shared" ca="1" si="60"/>
        <v>4560.2490938400542</v>
      </c>
      <c r="G456" s="26">
        <f t="shared" ca="1" si="61"/>
        <v>4540.6533212659742</v>
      </c>
      <c r="H456" t="str">
        <f t="shared" ca="1" si="62"/>
        <v>Reactive</v>
      </c>
      <c r="I456" s="26">
        <f t="shared" ca="1" si="63"/>
        <v>19.595772574080002</v>
      </c>
    </row>
    <row r="457" spans="1:9" x14ac:dyDescent="0.2">
      <c r="A457">
        <v>454</v>
      </c>
      <c r="B457" s="30">
        <f t="shared" ca="1" si="56"/>
        <v>0.27880206555817755</v>
      </c>
      <c r="C457" t="b">
        <f t="shared" ca="1" si="57"/>
        <v>1</v>
      </c>
      <c r="D457">
        <f t="shared" ca="1" si="58"/>
        <v>30</v>
      </c>
      <c r="E457">
        <f t="shared" ca="1" si="59"/>
        <v>30</v>
      </c>
      <c r="F457" s="26">
        <f t="shared" ca="1" si="60"/>
        <v>4559.5186974526487</v>
      </c>
      <c r="G457" s="26">
        <f t="shared" ca="1" si="61"/>
        <v>4543.2043749428321</v>
      </c>
      <c r="H457" t="str">
        <f t="shared" ca="1" si="62"/>
        <v>Reactive</v>
      </c>
      <c r="I457" s="26">
        <f t="shared" ca="1" si="63"/>
        <v>16.31432250981652</v>
      </c>
    </row>
    <row r="458" spans="1:9" x14ac:dyDescent="0.2">
      <c r="A458">
        <v>455</v>
      </c>
      <c r="B458" s="30">
        <f t="shared" ca="1" si="56"/>
        <v>0.66656340556608606</v>
      </c>
      <c r="C458" t="b">
        <f t="shared" ca="1" si="57"/>
        <v>0</v>
      </c>
      <c r="D458">
        <f t="shared" ca="1" si="58"/>
        <v>28</v>
      </c>
      <c r="E458">
        <f t="shared" ca="1" si="59"/>
        <v>30</v>
      </c>
      <c r="F458" s="26">
        <f t="shared" ca="1" si="60"/>
        <v>4557.9492198127618</v>
      </c>
      <c r="G458" s="26">
        <f t="shared" ca="1" si="61"/>
        <v>4561.238966838715</v>
      </c>
      <c r="H458" t="str">
        <f t="shared" ca="1" si="62"/>
        <v>Static</v>
      </c>
      <c r="I458" s="26">
        <f t="shared" ca="1" si="63"/>
        <v>-3.2897470259531474</v>
      </c>
    </row>
    <row r="459" spans="1:9" x14ac:dyDescent="0.2">
      <c r="A459">
        <v>456</v>
      </c>
      <c r="B459" s="30">
        <f t="shared" ca="1" si="56"/>
        <v>0.90547955889099563</v>
      </c>
      <c r="C459" t="b">
        <f t="shared" ca="1" si="57"/>
        <v>0</v>
      </c>
      <c r="D459">
        <f t="shared" ca="1" si="58"/>
        <v>28</v>
      </c>
      <c r="E459">
        <f t="shared" ca="1" si="59"/>
        <v>30</v>
      </c>
      <c r="F459" s="26">
        <f t="shared" ca="1" si="60"/>
        <v>4557.9825556091419</v>
      </c>
      <c r="G459" s="26">
        <f t="shared" ca="1" si="61"/>
        <v>4560.9383560479473</v>
      </c>
      <c r="H459" t="str">
        <f t="shared" ca="1" si="62"/>
        <v>Static</v>
      </c>
      <c r="I459" s="26">
        <f t="shared" ca="1" si="63"/>
        <v>-2.9558004388054542</v>
      </c>
    </row>
    <row r="460" spans="1:9" x14ac:dyDescent="0.2">
      <c r="A460">
        <v>457</v>
      </c>
      <c r="B460" s="30">
        <f t="shared" ca="1" si="56"/>
        <v>0.65371002016616342</v>
      </c>
      <c r="C460" t="b">
        <f t="shared" ca="1" si="57"/>
        <v>0</v>
      </c>
      <c r="D460">
        <f t="shared" ca="1" si="58"/>
        <v>28</v>
      </c>
      <c r="E460">
        <f t="shared" ca="1" si="59"/>
        <v>30</v>
      </c>
      <c r="F460" s="26">
        <f t="shared" ca="1" si="60"/>
        <v>4559.9233913198777</v>
      </c>
      <c r="G460" s="26">
        <f t="shared" ca="1" si="61"/>
        <v>4559.8054235808195</v>
      </c>
      <c r="H460" t="str">
        <f t="shared" ca="1" si="62"/>
        <v>Reactive</v>
      </c>
      <c r="I460" s="26">
        <f t="shared" ca="1" si="63"/>
        <v>0.1179677390582583</v>
      </c>
    </row>
    <row r="461" spans="1:9" x14ac:dyDescent="0.2">
      <c r="A461">
        <v>458</v>
      </c>
      <c r="B461" s="30">
        <f t="shared" ca="1" si="56"/>
        <v>0.14036652764871638</v>
      </c>
      <c r="C461" t="b">
        <f t="shared" ca="1" si="57"/>
        <v>1</v>
      </c>
      <c r="D461">
        <f t="shared" ca="1" si="58"/>
        <v>27</v>
      </c>
      <c r="E461">
        <f t="shared" ca="1" si="59"/>
        <v>27</v>
      </c>
      <c r="F461" s="26">
        <f t="shared" ca="1" si="60"/>
        <v>4559.0301898376229</v>
      </c>
      <c r="G461" s="26">
        <f t="shared" ca="1" si="61"/>
        <v>4540.9348083615905</v>
      </c>
      <c r="H461" t="str">
        <f t="shared" ca="1" si="62"/>
        <v>Reactive</v>
      </c>
      <c r="I461" s="26">
        <f t="shared" ca="1" si="63"/>
        <v>18.095381476032344</v>
      </c>
    </row>
    <row r="462" spans="1:9" x14ac:dyDescent="0.2">
      <c r="A462">
        <v>459</v>
      </c>
      <c r="B462" s="30">
        <f t="shared" ca="1" si="56"/>
        <v>0.33083828298715579</v>
      </c>
      <c r="C462" t="b">
        <f t="shared" ca="1" si="57"/>
        <v>1</v>
      </c>
      <c r="D462">
        <f t="shared" ca="1" si="58"/>
        <v>27</v>
      </c>
      <c r="E462">
        <f t="shared" ca="1" si="59"/>
        <v>27</v>
      </c>
      <c r="F462" s="26">
        <f t="shared" ca="1" si="60"/>
        <v>4558.0476048455466</v>
      </c>
      <c r="G462" s="26">
        <f t="shared" ca="1" si="61"/>
        <v>4542.0829500729378</v>
      </c>
      <c r="H462" t="str">
        <f t="shared" ca="1" si="62"/>
        <v>Reactive</v>
      </c>
      <c r="I462" s="26">
        <f t="shared" ca="1" si="63"/>
        <v>15.96465477260881</v>
      </c>
    </row>
    <row r="463" spans="1:9" x14ac:dyDescent="0.2">
      <c r="A463">
        <v>460</v>
      </c>
      <c r="B463" s="30">
        <f t="shared" ca="1" si="56"/>
        <v>0.74515462802902144</v>
      </c>
      <c r="C463" t="b">
        <f t="shared" ca="1" si="57"/>
        <v>0</v>
      </c>
      <c r="D463">
        <f t="shared" ca="1" si="58"/>
        <v>27</v>
      </c>
      <c r="E463">
        <f t="shared" ca="1" si="59"/>
        <v>30</v>
      </c>
      <c r="F463" s="26">
        <f t="shared" ca="1" si="60"/>
        <v>4558.9420407959606</v>
      </c>
      <c r="G463" s="26">
        <f t="shared" ca="1" si="61"/>
        <v>4559.3657918190011</v>
      </c>
      <c r="H463" t="str">
        <f t="shared" ca="1" si="62"/>
        <v>Static</v>
      </c>
      <c r="I463" s="26">
        <f t="shared" ca="1" si="63"/>
        <v>-0.42375102304049506</v>
      </c>
    </row>
    <row r="464" spans="1:9" x14ac:dyDescent="0.2">
      <c r="A464">
        <v>461</v>
      </c>
      <c r="B464" s="30">
        <f t="shared" ca="1" si="56"/>
        <v>0.11509677713855526</v>
      </c>
      <c r="C464" t="b">
        <f t="shared" ca="1" si="57"/>
        <v>1</v>
      </c>
      <c r="D464">
        <f t="shared" ca="1" si="58"/>
        <v>26</v>
      </c>
      <c r="E464">
        <f t="shared" ca="1" si="59"/>
        <v>26</v>
      </c>
      <c r="F464" s="26">
        <f t="shared" ca="1" si="60"/>
        <v>4558.0400959362132</v>
      </c>
      <c r="G464" s="26">
        <f t="shared" ca="1" si="61"/>
        <v>4542.3009722548995</v>
      </c>
      <c r="H464" t="str">
        <f t="shared" ca="1" si="62"/>
        <v>Reactive</v>
      </c>
      <c r="I464" s="26">
        <f t="shared" ca="1" si="63"/>
        <v>15.739123681313686</v>
      </c>
    </row>
    <row r="465" spans="1:9" x14ac:dyDescent="0.2">
      <c r="A465">
        <v>462</v>
      </c>
      <c r="B465" s="30">
        <f t="shared" ca="1" si="56"/>
        <v>0.31054107570923117</v>
      </c>
      <c r="C465" t="b">
        <f t="shared" ca="1" si="57"/>
        <v>1</v>
      </c>
      <c r="D465">
        <f t="shared" ca="1" si="58"/>
        <v>28</v>
      </c>
      <c r="E465">
        <f t="shared" ca="1" si="59"/>
        <v>28</v>
      </c>
      <c r="F465" s="26">
        <f t="shared" ca="1" si="60"/>
        <v>4558.404541209522</v>
      </c>
      <c r="G465" s="26">
        <f t="shared" ca="1" si="61"/>
        <v>4543.0516132900766</v>
      </c>
      <c r="H465" t="str">
        <f t="shared" ca="1" si="62"/>
        <v>Reactive</v>
      </c>
      <c r="I465" s="26">
        <f t="shared" ca="1" si="63"/>
        <v>15.352927919445392</v>
      </c>
    </row>
    <row r="466" spans="1:9" x14ac:dyDescent="0.2">
      <c r="A466">
        <v>463</v>
      </c>
      <c r="B466" s="30">
        <f t="shared" ca="1" si="56"/>
        <v>0.3720662846071795</v>
      </c>
      <c r="C466" t="b">
        <f t="shared" ca="1" si="57"/>
        <v>0</v>
      </c>
      <c r="D466">
        <f t="shared" ca="1" si="58"/>
        <v>26</v>
      </c>
      <c r="E466">
        <f t="shared" ca="1" si="59"/>
        <v>30</v>
      </c>
      <c r="F466" s="26">
        <f t="shared" ca="1" si="60"/>
        <v>4559.9408856952414</v>
      </c>
      <c r="G466" s="26">
        <f t="shared" ca="1" si="61"/>
        <v>4561.1832083216559</v>
      </c>
      <c r="H466" t="str">
        <f t="shared" ca="1" si="62"/>
        <v>Static</v>
      </c>
      <c r="I466" s="26">
        <f t="shared" ca="1" si="63"/>
        <v>-1.2423226264145342</v>
      </c>
    </row>
    <row r="467" spans="1:9" x14ac:dyDescent="0.2">
      <c r="A467">
        <v>464</v>
      </c>
      <c r="B467" s="30">
        <f t="shared" ca="1" si="56"/>
        <v>5.4292709107814807E-2</v>
      </c>
      <c r="C467" t="b">
        <f t="shared" ca="1" si="57"/>
        <v>1</v>
      </c>
      <c r="D467">
        <f t="shared" ca="1" si="58"/>
        <v>26</v>
      </c>
      <c r="E467">
        <f t="shared" ca="1" si="59"/>
        <v>26</v>
      </c>
      <c r="F467" s="26">
        <f t="shared" ca="1" si="60"/>
        <v>4560.2508063311652</v>
      </c>
      <c r="G467" s="26">
        <f t="shared" ca="1" si="61"/>
        <v>4542.5274503822866</v>
      </c>
      <c r="H467" t="str">
        <f t="shared" ca="1" si="62"/>
        <v>Reactive</v>
      </c>
      <c r="I467" s="26">
        <f t="shared" ca="1" si="63"/>
        <v>17.723355948878634</v>
      </c>
    </row>
    <row r="468" spans="1:9" x14ac:dyDescent="0.2">
      <c r="A468">
        <v>465</v>
      </c>
      <c r="B468" s="30">
        <f t="shared" ca="1" si="56"/>
        <v>0.52331062306162324</v>
      </c>
      <c r="C468" t="b">
        <f t="shared" ca="1" si="57"/>
        <v>0</v>
      </c>
      <c r="D468">
        <f t="shared" ca="1" si="58"/>
        <v>27</v>
      </c>
      <c r="E468">
        <f t="shared" ca="1" si="59"/>
        <v>30</v>
      </c>
      <c r="F468" s="26">
        <f t="shared" ca="1" si="60"/>
        <v>4559.2559012904903</v>
      </c>
      <c r="G468" s="26">
        <f t="shared" ca="1" si="61"/>
        <v>4561.144193109144</v>
      </c>
      <c r="H468" t="str">
        <f t="shared" ca="1" si="62"/>
        <v>Static</v>
      </c>
      <c r="I468" s="26">
        <f t="shared" ca="1" si="63"/>
        <v>-1.8882918186536699</v>
      </c>
    </row>
    <row r="469" spans="1:9" x14ac:dyDescent="0.2">
      <c r="A469">
        <v>466</v>
      </c>
      <c r="B469" s="30">
        <f t="shared" ca="1" si="56"/>
        <v>0.52613944168926929</v>
      </c>
      <c r="C469" t="b">
        <f t="shared" ca="1" si="57"/>
        <v>0</v>
      </c>
      <c r="D469">
        <f t="shared" ca="1" si="58"/>
        <v>27</v>
      </c>
      <c r="E469">
        <f t="shared" ca="1" si="59"/>
        <v>30</v>
      </c>
      <c r="F469" s="26">
        <f t="shared" ca="1" si="60"/>
        <v>4557.7734642927417</v>
      </c>
      <c r="G469" s="26">
        <f t="shared" ca="1" si="61"/>
        <v>4560.4292871470989</v>
      </c>
      <c r="H469" t="str">
        <f t="shared" ca="1" si="62"/>
        <v>Static</v>
      </c>
      <c r="I469" s="26">
        <f t="shared" ca="1" si="63"/>
        <v>-2.6558228543572113</v>
      </c>
    </row>
    <row r="470" spans="1:9" x14ac:dyDescent="0.2">
      <c r="A470">
        <v>467</v>
      </c>
      <c r="B470" s="30">
        <f t="shared" ca="1" si="56"/>
        <v>0.1299613361808043</v>
      </c>
      <c r="C470" t="b">
        <f t="shared" ca="1" si="57"/>
        <v>1</v>
      </c>
      <c r="D470">
        <f t="shared" ca="1" si="58"/>
        <v>28</v>
      </c>
      <c r="E470">
        <f t="shared" ca="1" si="59"/>
        <v>28</v>
      </c>
      <c r="F470" s="26">
        <f t="shared" ca="1" si="60"/>
        <v>4559.7162123774424</v>
      </c>
      <c r="G470" s="26">
        <f t="shared" ca="1" si="61"/>
        <v>4542.8111715079103</v>
      </c>
      <c r="H470" t="str">
        <f t="shared" ca="1" si="62"/>
        <v>Reactive</v>
      </c>
      <c r="I470" s="26">
        <f t="shared" ca="1" si="63"/>
        <v>16.905040869532058</v>
      </c>
    </row>
    <row r="471" spans="1:9" x14ac:dyDescent="0.2">
      <c r="A471">
        <v>468</v>
      </c>
      <c r="B471" s="30">
        <f t="shared" ca="1" si="56"/>
        <v>0.19364966587706023</v>
      </c>
      <c r="C471" t="b">
        <f t="shared" ca="1" si="57"/>
        <v>1</v>
      </c>
      <c r="D471">
        <f t="shared" ca="1" si="58"/>
        <v>28</v>
      </c>
      <c r="E471">
        <f t="shared" ca="1" si="59"/>
        <v>28</v>
      </c>
      <c r="F471" s="26">
        <f t="shared" ca="1" si="60"/>
        <v>4559.8368779630682</v>
      </c>
      <c r="G471" s="26">
        <f t="shared" ca="1" si="61"/>
        <v>4542.8597112540874</v>
      </c>
      <c r="H471" t="str">
        <f t="shared" ca="1" si="62"/>
        <v>Reactive</v>
      </c>
      <c r="I471" s="26">
        <f t="shared" ca="1" si="63"/>
        <v>16.977166708980803</v>
      </c>
    </row>
    <row r="472" spans="1:9" x14ac:dyDescent="0.2">
      <c r="A472">
        <v>469</v>
      </c>
      <c r="B472" s="30">
        <f t="shared" ca="1" si="56"/>
        <v>0.62701756124009844</v>
      </c>
      <c r="C472" t="b">
        <f t="shared" ca="1" si="57"/>
        <v>0</v>
      </c>
      <c r="D472">
        <f t="shared" ca="1" si="58"/>
        <v>29</v>
      </c>
      <c r="E472">
        <f t="shared" ca="1" si="59"/>
        <v>30</v>
      </c>
      <c r="F472" s="26">
        <f t="shared" ca="1" si="60"/>
        <v>4560.6120405281235</v>
      </c>
      <c r="G472" s="26">
        <f t="shared" ca="1" si="61"/>
        <v>4559.0800671931775</v>
      </c>
      <c r="H472" t="str">
        <f t="shared" ca="1" si="62"/>
        <v>Reactive</v>
      </c>
      <c r="I472" s="26">
        <f t="shared" ca="1" si="63"/>
        <v>1.5319733349460876</v>
      </c>
    </row>
    <row r="473" spans="1:9" x14ac:dyDescent="0.2">
      <c r="A473">
        <v>470</v>
      </c>
      <c r="B473" s="30">
        <f t="shared" ca="1" si="56"/>
        <v>0.20094243668616674</v>
      </c>
      <c r="C473" t="b">
        <f t="shared" ca="1" si="57"/>
        <v>1</v>
      </c>
      <c r="D473">
        <f t="shared" ca="1" si="58"/>
        <v>29</v>
      </c>
      <c r="E473">
        <f t="shared" ca="1" si="59"/>
        <v>29</v>
      </c>
      <c r="F473" s="26">
        <f t="shared" ca="1" si="60"/>
        <v>4559.3915896117587</v>
      </c>
      <c r="G473" s="26">
        <f t="shared" ca="1" si="61"/>
        <v>4544.380875856963</v>
      </c>
      <c r="H473" t="str">
        <f t="shared" ca="1" si="62"/>
        <v>Reactive</v>
      </c>
      <c r="I473" s="26">
        <f t="shared" ca="1" si="63"/>
        <v>15.010713754795688</v>
      </c>
    </row>
    <row r="474" spans="1:9" x14ac:dyDescent="0.2">
      <c r="A474">
        <v>471</v>
      </c>
      <c r="B474" s="30">
        <f t="shared" ca="1" si="56"/>
        <v>0.91686106992277716</v>
      </c>
      <c r="C474" t="b">
        <f t="shared" ca="1" si="57"/>
        <v>0</v>
      </c>
      <c r="D474">
        <f t="shared" ca="1" si="58"/>
        <v>28</v>
      </c>
      <c r="E474">
        <f t="shared" ca="1" si="59"/>
        <v>30</v>
      </c>
      <c r="F474" s="26">
        <f t="shared" ca="1" si="60"/>
        <v>4558.8610477333978</v>
      </c>
      <c r="G474" s="26">
        <f t="shared" ca="1" si="61"/>
        <v>4560.6075111666323</v>
      </c>
      <c r="H474" t="str">
        <f t="shared" ca="1" si="62"/>
        <v>Static</v>
      </c>
      <c r="I474" s="26">
        <f t="shared" ca="1" si="63"/>
        <v>-1.7464634332345668</v>
      </c>
    </row>
    <row r="475" spans="1:9" x14ac:dyDescent="0.2">
      <c r="A475">
        <v>472</v>
      </c>
      <c r="B475" s="30">
        <f t="shared" ca="1" si="56"/>
        <v>0.69118042361173537</v>
      </c>
      <c r="C475" t="b">
        <f t="shared" ca="1" si="57"/>
        <v>0</v>
      </c>
      <c r="D475">
        <f t="shared" ca="1" si="58"/>
        <v>28</v>
      </c>
      <c r="E475">
        <f t="shared" ca="1" si="59"/>
        <v>30</v>
      </c>
      <c r="F475" s="26">
        <f t="shared" ca="1" si="60"/>
        <v>4559.7960210294832</v>
      </c>
      <c r="G475" s="26">
        <f t="shared" ca="1" si="61"/>
        <v>4560.2618488678481</v>
      </c>
      <c r="H475" t="str">
        <f t="shared" ca="1" si="62"/>
        <v>Static</v>
      </c>
      <c r="I475" s="26">
        <f t="shared" ca="1" si="63"/>
        <v>-0.46582783836493036</v>
      </c>
    </row>
    <row r="476" spans="1:9" x14ac:dyDescent="0.2">
      <c r="A476">
        <v>473</v>
      </c>
      <c r="B476" s="30">
        <f t="shared" ca="1" si="56"/>
        <v>0.67965510939787543</v>
      </c>
      <c r="C476" t="b">
        <f t="shared" ca="1" si="57"/>
        <v>0</v>
      </c>
      <c r="D476">
        <f t="shared" ca="1" si="58"/>
        <v>26</v>
      </c>
      <c r="E476">
        <f t="shared" ca="1" si="59"/>
        <v>30</v>
      </c>
      <c r="F476" s="26">
        <f t="shared" ca="1" si="60"/>
        <v>4557.6552040549559</v>
      </c>
      <c r="G476" s="26">
        <f t="shared" ca="1" si="61"/>
        <v>4558.6837873037248</v>
      </c>
      <c r="H476" t="str">
        <f t="shared" ca="1" si="62"/>
        <v>Static</v>
      </c>
      <c r="I476" s="26">
        <f t="shared" ca="1" si="63"/>
        <v>-1.0285832487688822</v>
      </c>
    </row>
    <row r="477" spans="1:9" x14ac:dyDescent="0.2">
      <c r="A477">
        <v>474</v>
      </c>
      <c r="B477" s="30">
        <f t="shared" ca="1" si="56"/>
        <v>0.88599709675630101</v>
      </c>
      <c r="C477" t="b">
        <f t="shared" ca="1" si="57"/>
        <v>0</v>
      </c>
      <c r="D477">
        <f t="shared" ca="1" si="58"/>
        <v>26</v>
      </c>
      <c r="E477">
        <f t="shared" ca="1" si="59"/>
        <v>30</v>
      </c>
      <c r="F477" s="26">
        <f t="shared" ca="1" si="60"/>
        <v>4557.8843976492644</v>
      </c>
      <c r="G477" s="26">
        <f t="shared" ca="1" si="61"/>
        <v>4559.8432861816837</v>
      </c>
      <c r="H477" t="str">
        <f t="shared" ca="1" si="62"/>
        <v>Static</v>
      </c>
      <c r="I477" s="26">
        <f t="shared" ca="1" si="63"/>
        <v>-1.9588885324192233</v>
      </c>
    </row>
    <row r="478" spans="1:9" x14ac:dyDescent="0.2">
      <c r="A478">
        <v>475</v>
      </c>
      <c r="B478" s="30">
        <f t="shared" ca="1" si="56"/>
        <v>0.82658582555271232</v>
      </c>
      <c r="C478" t="b">
        <f t="shared" ca="1" si="57"/>
        <v>0</v>
      </c>
      <c r="D478">
        <f t="shared" ca="1" si="58"/>
        <v>28</v>
      </c>
      <c r="E478">
        <f t="shared" ca="1" si="59"/>
        <v>30</v>
      </c>
      <c r="F478" s="26">
        <f t="shared" ca="1" si="60"/>
        <v>4558.7579531971187</v>
      </c>
      <c r="G478" s="26">
        <f t="shared" ca="1" si="61"/>
        <v>4559.9155842265</v>
      </c>
      <c r="H478" t="str">
        <f t="shared" ca="1" si="62"/>
        <v>Static</v>
      </c>
      <c r="I478" s="26">
        <f t="shared" ca="1" si="63"/>
        <v>-1.1576310293812639</v>
      </c>
    </row>
    <row r="479" spans="1:9" x14ac:dyDescent="0.2">
      <c r="A479">
        <v>476</v>
      </c>
      <c r="B479" s="30">
        <f t="shared" ca="1" si="56"/>
        <v>7.998439498286225E-2</v>
      </c>
      <c r="C479" t="b">
        <f t="shared" ca="1" si="57"/>
        <v>1</v>
      </c>
      <c r="D479">
        <f t="shared" ca="1" si="58"/>
        <v>28</v>
      </c>
      <c r="E479">
        <f t="shared" ca="1" si="59"/>
        <v>28</v>
      </c>
      <c r="F479" s="26">
        <f t="shared" ca="1" si="60"/>
        <v>4558.5766361052638</v>
      </c>
      <c r="G479" s="26">
        <f t="shared" ca="1" si="61"/>
        <v>4541.9248570898708</v>
      </c>
      <c r="H479" t="str">
        <f t="shared" ca="1" si="62"/>
        <v>Reactive</v>
      </c>
      <c r="I479" s="26">
        <f t="shared" ca="1" si="63"/>
        <v>16.651779015393004</v>
      </c>
    </row>
    <row r="480" spans="1:9" x14ac:dyDescent="0.2">
      <c r="A480">
        <v>477</v>
      </c>
      <c r="B480" s="30">
        <f t="shared" ca="1" si="56"/>
        <v>0.42589002969436374</v>
      </c>
      <c r="C480" t="b">
        <f t="shared" ca="1" si="57"/>
        <v>0</v>
      </c>
      <c r="D480">
        <f t="shared" ca="1" si="58"/>
        <v>28</v>
      </c>
      <c r="E480">
        <f t="shared" ca="1" si="59"/>
        <v>30</v>
      </c>
      <c r="F480" s="26">
        <f t="shared" ca="1" si="60"/>
        <v>4556.9713990171886</v>
      </c>
      <c r="G480" s="26">
        <f t="shared" ca="1" si="61"/>
        <v>4559.2788551677895</v>
      </c>
      <c r="H480" t="str">
        <f t="shared" ca="1" si="62"/>
        <v>Static</v>
      </c>
      <c r="I480" s="26">
        <f t="shared" ca="1" si="63"/>
        <v>-2.3074561506009559</v>
      </c>
    </row>
    <row r="481" spans="1:9" x14ac:dyDescent="0.2">
      <c r="A481">
        <v>478</v>
      </c>
      <c r="B481" s="30">
        <f t="shared" ca="1" si="56"/>
        <v>0.65792944791915109</v>
      </c>
      <c r="C481" t="b">
        <f t="shared" ca="1" si="57"/>
        <v>0</v>
      </c>
      <c r="D481">
        <f t="shared" ca="1" si="58"/>
        <v>29</v>
      </c>
      <c r="E481">
        <f t="shared" ca="1" si="59"/>
        <v>30</v>
      </c>
      <c r="F481" s="26">
        <f t="shared" ca="1" si="60"/>
        <v>4558.5120449441793</v>
      </c>
      <c r="G481" s="26">
        <f t="shared" ca="1" si="61"/>
        <v>4559.9745976826634</v>
      </c>
      <c r="H481" t="str">
        <f t="shared" ca="1" si="62"/>
        <v>Static</v>
      </c>
      <c r="I481" s="26">
        <f t="shared" ca="1" si="63"/>
        <v>-1.4625527384841917</v>
      </c>
    </row>
    <row r="482" spans="1:9" x14ac:dyDescent="0.2">
      <c r="A482">
        <v>479</v>
      </c>
      <c r="B482" s="30">
        <f t="shared" ca="1" si="56"/>
        <v>0.71652319995076497</v>
      </c>
      <c r="C482" t="b">
        <f t="shared" ca="1" si="57"/>
        <v>0</v>
      </c>
      <c r="D482">
        <f t="shared" ca="1" si="58"/>
        <v>29</v>
      </c>
      <c r="E482">
        <f t="shared" ca="1" si="59"/>
        <v>30</v>
      </c>
      <c r="F482" s="26">
        <f t="shared" ca="1" si="60"/>
        <v>4558.3909026746041</v>
      </c>
      <c r="G482" s="26">
        <f t="shared" ca="1" si="61"/>
        <v>4561.6823723456155</v>
      </c>
      <c r="H482" t="str">
        <f t="shared" ca="1" si="62"/>
        <v>Static</v>
      </c>
      <c r="I482" s="26">
        <f t="shared" ca="1" si="63"/>
        <v>-3.2914696710113276</v>
      </c>
    </row>
    <row r="483" spans="1:9" x14ac:dyDescent="0.2">
      <c r="A483">
        <v>480</v>
      </c>
      <c r="B483" s="30">
        <f t="shared" ca="1" si="56"/>
        <v>0.44367759030335585</v>
      </c>
      <c r="C483" t="b">
        <f t="shared" ca="1" si="57"/>
        <v>0</v>
      </c>
      <c r="D483">
        <f t="shared" ca="1" si="58"/>
        <v>26</v>
      </c>
      <c r="E483">
        <f t="shared" ca="1" si="59"/>
        <v>30</v>
      </c>
      <c r="F483" s="26">
        <f t="shared" ca="1" si="60"/>
        <v>4559.1544577041132</v>
      </c>
      <c r="G483" s="26">
        <f t="shared" ca="1" si="61"/>
        <v>4559.1393978154265</v>
      </c>
      <c r="H483" t="str">
        <f t="shared" ca="1" si="62"/>
        <v>Reactive</v>
      </c>
      <c r="I483" s="26">
        <f t="shared" ca="1" si="63"/>
        <v>1.5059888686664635E-2</v>
      </c>
    </row>
    <row r="484" spans="1:9" x14ac:dyDescent="0.2">
      <c r="A484">
        <v>481</v>
      </c>
      <c r="B484" s="30">
        <f t="shared" ca="1" si="56"/>
        <v>0.69983082523186335</v>
      </c>
      <c r="C484" t="b">
        <f t="shared" ca="1" si="57"/>
        <v>0</v>
      </c>
      <c r="D484">
        <f t="shared" ca="1" si="58"/>
        <v>28</v>
      </c>
      <c r="E484">
        <f t="shared" ca="1" si="59"/>
        <v>30</v>
      </c>
      <c r="F484" s="26">
        <f t="shared" ca="1" si="60"/>
        <v>4558.8729758500567</v>
      </c>
      <c r="G484" s="26">
        <f t="shared" ca="1" si="61"/>
        <v>4560.8122266884184</v>
      </c>
      <c r="H484" t="str">
        <f t="shared" ca="1" si="62"/>
        <v>Static</v>
      </c>
      <c r="I484" s="26">
        <f t="shared" ca="1" si="63"/>
        <v>-1.9392508383616587</v>
      </c>
    </row>
    <row r="485" spans="1:9" x14ac:dyDescent="0.2">
      <c r="A485">
        <v>482</v>
      </c>
      <c r="B485" s="30">
        <f t="shared" ca="1" si="56"/>
        <v>0.75649487301209928</v>
      </c>
      <c r="C485" t="b">
        <f t="shared" ca="1" si="57"/>
        <v>0</v>
      </c>
      <c r="D485">
        <f t="shared" ca="1" si="58"/>
        <v>27</v>
      </c>
      <c r="E485">
        <f t="shared" ca="1" si="59"/>
        <v>30</v>
      </c>
      <c r="F485" s="26">
        <f t="shared" ca="1" si="60"/>
        <v>4557.9526753976106</v>
      </c>
      <c r="G485" s="26">
        <f t="shared" ca="1" si="61"/>
        <v>4559.7327165002662</v>
      </c>
      <c r="H485" t="str">
        <f t="shared" ca="1" si="62"/>
        <v>Static</v>
      </c>
      <c r="I485" s="26">
        <f t="shared" ca="1" si="63"/>
        <v>-1.7800411026555594</v>
      </c>
    </row>
    <row r="486" spans="1:9" x14ac:dyDescent="0.2">
      <c r="A486">
        <v>483</v>
      </c>
      <c r="B486" s="30">
        <f t="shared" ca="1" si="56"/>
        <v>0.11669054901667386</v>
      </c>
      <c r="C486" t="b">
        <f t="shared" ca="1" si="57"/>
        <v>1</v>
      </c>
      <c r="D486">
        <f t="shared" ca="1" si="58"/>
        <v>27</v>
      </c>
      <c r="E486">
        <f t="shared" ca="1" si="59"/>
        <v>27</v>
      </c>
      <c r="F486" s="26">
        <f t="shared" ca="1" si="60"/>
        <v>4557.111030672846</v>
      </c>
      <c r="G486" s="26">
        <f t="shared" ca="1" si="61"/>
        <v>4541.8778772387168</v>
      </c>
      <c r="H486" t="str">
        <f t="shared" ca="1" si="62"/>
        <v>Reactive</v>
      </c>
      <c r="I486" s="26">
        <f t="shared" ca="1" si="63"/>
        <v>15.233153434129235</v>
      </c>
    </row>
    <row r="487" spans="1:9" x14ac:dyDescent="0.2">
      <c r="A487">
        <v>484</v>
      </c>
      <c r="B487" s="30">
        <f t="shared" ca="1" si="56"/>
        <v>0.18162313493790017</v>
      </c>
      <c r="C487" t="b">
        <f t="shared" ca="1" si="57"/>
        <v>1</v>
      </c>
      <c r="D487">
        <f t="shared" ca="1" si="58"/>
        <v>26</v>
      </c>
      <c r="E487">
        <f t="shared" ca="1" si="59"/>
        <v>26</v>
      </c>
      <c r="F487" s="26">
        <f t="shared" ca="1" si="60"/>
        <v>4559.4016518863145</v>
      </c>
      <c r="G487" s="26">
        <f t="shared" ca="1" si="61"/>
        <v>4539.8555081302729</v>
      </c>
      <c r="H487" t="str">
        <f t="shared" ca="1" si="62"/>
        <v>Reactive</v>
      </c>
      <c r="I487" s="26">
        <f t="shared" ca="1" si="63"/>
        <v>19.546143756041602</v>
      </c>
    </row>
    <row r="488" spans="1:9" x14ac:dyDescent="0.2">
      <c r="A488">
        <v>485</v>
      </c>
      <c r="B488" s="30">
        <f t="shared" ca="1" si="56"/>
        <v>0.52562425342015129</v>
      </c>
      <c r="C488" t="b">
        <f t="shared" ca="1" si="57"/>
        <v>0</v>
      </c>
      <c r="D488">
        <f t="shared" ca="1" si="58"/>
        <v>29</v>
      </c>
      <c r="E488">
        <f t="shared" ca="1" si="59"/>
        <v>30</v>
      </c>
      <c r="F488" s="26">
        <f t="shared" ca="1" si="60"/>
        <v>4557.7200825603268</v>
      </c>
      <c r="G488" s="26">
        <f t="shared" ca="1" si="61"/>
        <v>4559.4349078104315</v>
      </c>
      <c r="H488" t="str">
        <f t="shared" ca="1" si="62"/>
        <v>Static</v>
      </c>
      <c r="I488" s="26">
        <f t="shared" ca="1" si="63"/>
        <v>-1.7148252501046954</v>
      </c>
    </row>
    <row r="489" spans="1:9" x14ac:dyDescent="0.2">
      <c r="A489">
        <v>486</v>
      </c>
      <c r="B489" s="30">
        <f t="shared" ca="1" si="56"/>
        <v>0.7091048112130317</v>
      </c>
      <c r="C489" t="b">
        <f t="shared" ca="1" si="57"/>
        <v>0</v>
      </c>
      <c r="D489">
        <f t="shared" ca="1" si="58"/>
        <v>29</v>
      </c>
      <c r="E489">
        <f t="shared" ca="1" si="59"/>
        <v>30</v>
      </c>
      <c r="F489" s="26">
        <f t="shared" ca="1" si="60"/>
        <v>4560.1717837410379</v>
      </c>
      <c r="G489" s="26">
        <f t="shared" ca="1" si="61"/>
        <v>4558.770098569993</v>
      </c>
      <c r="H489" t="str">
        <f t="shared" ca="1" si="62"/>
        <v>Reactive</v>
      </c>
      <c r="I489" s="26">
        <f t="shared" ca="1" si="63"/>
        <v>1.4016851710448464</v>
      </c>
    </row>
    <row r="490" spans="1:9" x14ac:dyDescent="0.2">
      <c r="A490">
        <v>487</v>
      </c>
      <c r="B490" s="30">
        <f t="shared" ca="1" si="56"/>
        <v>0.37165050026963475</v>
      </c>
      <c r="C490" t="b">
        <f t="shared" ca="1" si="57"/>
        <v>0</v>
      </c>
      <c r="D490">
        <f t="shared" ca="1" si="58"/>
        <v>26</v>
      </c>
      <c r="E490">
        <f t="shared" ca="1" si="59"/>
        <v>30</v>
      </c>
      <c r="F490" s="26">
        <f t="shared" ca="1" si="60"/>
        <v>4558.7359720391742</v>
      </c>
      <c r="G490" s="26">
        <f t="shared" ca="1" si="61"/>
        <v>4561.3888804028802</v>
      </c>
      <c r="H490" t="str">
        <f t="shared" ca="1" si="62"/>
        <v>Static</v>
      </c>
      <c r="I490" s="26">
        <f t="shared" ca="1" si="63"/>
        <v>-2.6529083637060467</v>
      </c>
    </row>
    <row r="491" spans="1:9" x14ac:dyDescent="0.2">
      <c r="A491">
        <v>488</v>
      </c>
      <c r="B491" s="30">
        <f t="shared" ca="1" si="56"/>
        <v>0.97253850485827098</v>
      </c>
      <c r="C491" t="b">
        <f t="shared" ca="1" si="57"/>
        <v>0</v>
      </c>
      <c r="D491">
        <f t="shared" ca="1" si="58"/>
        <v>29</v>
      </c>
      <c r="E491">
        <f t="shared" ca="1" si="59"/>
        <v>30</v>
      </c>
      <c r="F491" s="26">
        <f t="shared" ca="1" si="60"/>
        <v>4559.6789103760066</v>
      </c>
      <c r="G491" s="26">
        <f t="shared" ca="1" si="61"/>
        <v>4559.9512568110331</v>
      </c>
      <c r="H491" t="str">
        <f t="shared" ca="1" si="62"/>
        <v>Static</v>
      </c>
      <c r="I491" s="26">
        <f t="shared" ca="1" si="63"/>
        <v>-0.27234643502652034</v>
      </c>
    </row>
    <row r="492" spans="1:9" x14ac:dyDescent="0.2">
      <c r="A492">
        <v>489</v>
      </c>
      <c r="B492" s="30">
        <f t="shared" ca="1" si="56"/>
        <v>0.23083907428692929</v>
      </c>
      <c r="C492" t="b">
        <f t="shared" ca="1" si="57"/>
        <v>1</v>
      </c>
      <c r="D492">
        <f t="shared" ca="1" si="58"/>
        <v>26</v>
      </c>
      <c r="E492">
        <f t="shared" ca="1" si="59"/>
        <v>26</v>
      </c>
      <c r="F492" s="26">
        <f t="shared" ca="1" si="60"/>
        <v>4559.7333892373172</v>
      </c>
      <c r="G492" s="26">
        <f t="shared" ca="1" si="61"/>
        <v>4542.2823543771647</v>
      </c>
      <c r="H492" t="str">
        <f t="shared" ca="1" si="62"/>
        <v>Reactive</v>
      </c>
      <c r="I492" s="26">
        <f t="shared" ca="1" si="63"/>
        <v>17.451034860152504</v>
      </c>
    </row>
    <row r="493" spans="1:9" x14ac:dyDescent="0.2">
      <c r="A493">
        <v>490</v>
      </c>
      <c r="B493" s="30">
        <f t="shared" ca="1" si="56"/>
        <v>0.96483223949750341</v>
      </c>
      <c r="C493" t="b">
        <f t="shared" ca="1" si="57"/>
        <v>0</v>
      </c>
      <c r="D493">
        <f t="shared" ca="1" si="58"/>
        <v>29</v>
      </c>
      <c r="E493">
        <f t="shared" ca="1" si="59"/>
        <v>30</v>
      </c>
      <c r="F493" s="26">
        <f t="shared" ca="1" si="60"/>
        <v>4558.1382140217847</v>
      </c>
      <c r="G493" s="26">
        <f t="shared" ca="1" si="61"/>
        <v>4559.6187851918567</v>
      </c>
      <c r="H493" t="str">
        <f t="shared" ca="1" si="62"/>
        <v>Static</v>
      </c>
      <c r="I493" s="26">
        <f t="shared" ca="1" si="63"/>
        <v>-1.4805711700719257</v>
      </c>
    </row>
    <row r="494" spans="1:9" x14ac:dyDescent="0.2">
      <c r="A494">
        <v>491</v>
      </c>
      <c r="B494" s="30">
        <f t="shared" ca="1" si="56"/>
        <v>0.67042256029643077</v>
      </c>
      <c r="C494" t="b">
        <f t="shared" ca="1" si="57"/>
        <v>0</v>
      </c>
      <c r="D494">
        <f t="shared" ca="1" si="58"/>
        <v>29</v>
      </c>
      <c r="E494">
        <f t="shared" ca="1" si="59"/>
        <v>30</v>
      </c>
      <c r="F494" s="26">
        <f t="shared" ca="1" si="60"/>
        <v>4558.9364226263378</v>
      </c>
      <c r="G494" s="26">
        <f t="shared" ca="1" si="61"/>
        <v>4559.4932286918902</v>
      </c>
      <c r="H494" t="str">
        <f t="shared" ca="1" si="62"/>
        <v>Static</v>
      </c>
      <c r="I494" s="26">
        <f t="shared" ca="1" si="63"/>
        <v>-0.5568060655523368</v>
      </c>
    </row>
    <row r="495" spans="1:9" x14ac:dyDescent="0.2">
      <c r="A495">
        <v>492</v>
      </c>
      <c r="B495" s="30">
        <f t="shared" ca="1" si="56"/>
        <v>0.12599155971925713</v>
      </c>
      <c r="C495" t="b">
        <f t="shared" ca="1" si="57"/>
        <v>1</v>
      </c>
      <c r="D495">
        <f t="shared" ca="1" si="58"/>
        <v>26</v>
      </c>
      <c r="E495">
        <f t="shared" ca="1" si="59"/>
        <v>26</v>
      </c>
      <c r="F495" s="26">
        <f t="shared" ca="1" si="60"/>
        <v>4559.3404924562519</v>
      </c>
      <c r="G495" s="26">
        <f t="shared" ca="1" si="61"/>
        <v>4541.4452083505093</v>
      </c>
      <c r="H495" t="str">
        <f t="shared" ca="1" si="62"/>
        <v>Reactive</v>
      </c>
      <c r="I495" s="26">
        <f t="shared" ca="1" si="63"/>
        <v>17.895284105742576</v>
      </c>
    </row>
    <row r="496" spans="1:9" x14ac:dyDescent="0.2">
      <c r="A496">
        <v>493</v>
      </c>
      <c r="B496" s="30">
        <f t="shared" ca="1" si="56"/>
        <v>0.17936589503740974</v>
      </c>
      <c r="C496" t="b">
        <f t="shared" ca="1" si="57"/>
        <v>1</v>
      </c>
      <c r="D496">
        <f t="shared" ca="1" si="58"/>
        <v>29</v>
      </c>
      <c r="E496">
        <f t="shared" ca="1" si="59"/>
        <v>29</v>
      </c>
      <c r="F496" s="26">
        <f t="shared" ca="1" si="60"/>
        <v>4558.1270340165265</v>
      </c>
      <c r="G496" s="26">
        <f t="shared" ca="1" si="61"/>
        <v>4543.3315690391601</v>
      </c>
      <c r="H496" t="str">
        <f t="shared" ca="1" si="62"/>
        <v>Reactive</v>
      </c>
      <c r="I496" s="26">
        <f t="shared" ca="1" si="63"/>
        <v>14.795464977366464</v>
      </c>
    </row>
    <row r="497" spans="1:9" x14ac:dyDescent="0.2">
      <c r="A497">
        <v>494</v>
      </c>
      <c r="B497" s="30">
        <f t="shared" ca="1" si="56"/>
        <v>0.40171007317761409</v>
      </c>
      <c r="C497" t="b">
        <f t="shared" ca="1" si="57"/>
        <v>0</v>
      </c>
      <c r="D497">
        <f t="shared" ca="1" si="58"/>
        <v>28</v>
      </c>
      <c r="E497">
        <f t="shared" ca="1" si="59"/>
        <v>30</v>
      </c>
      <c r="F497" s="26">
        <f t="shared" ca="1" si="60"/>
        <v>4559.0743668816385</v>
      </c>
      <c r="G497" s="26">
        <f t="shared" ca="1" si="61"/>
        <v>4559.206233092591</v>
      </c>
      <c r="H497" t="str">
        <f t="shared" ca="1" si="62"/>
        <v>Static</v>
      </c>
      <c r="I497" s="26">
        <f t="shared" ca="1" si="63"/>
        <v>-0.13186621095246664</v>
      </c>
    </row>
    <row r="498" spans="1:9" x14ac:dyDescent="0.2">
      <c r="A498">
        <v>495</v>
      </c>
      <c r="B498" s="30">
        <f t="shared" ca="1" si="56"/>
        <v>0.14555553437867508</v>
      </c>
      <c r="C498" t="b">
        <f t="shared" ca="1" si="57"/>
        <v>1</v>
      </c>
      <c r="D498">
        <f t="shared" ca="1" si="58"/>
        <v>30</v>
      </c>
      <c r="E498">
        <f t="shared" ca="1" si="59"/>
        <v>30</v>
      </c>
      <c r="F498" s="26">
        <f t="shared" ca="1" si="60"/>
        <v>4558.8591748473127</v>
      </c>
      <c r="G498" s="26">
        <f t="shared" ca="1" si="61"/>
        <v>4543.3405680107635</v>
      </c>
      <c r="H498" t="str">
        <f t="shared" ca="1" si="62"/>
        <v>Reactive</v>
      </c>
      <c r="I498" s="26">
        <f t="shared" ca="1" si="63"/>
        <v>15.518606836549225</v>
      </c>
    </row>
    <row r="499" spans="1:9" x14ac:dyDescent="0.2">
      <c r="A499">
        <v>496</v>
      </c>
      <c r="B499" s="30">
        <f t="shared" ca="1" si="56"/>
        <v>0.82004294238556585</v>
      </c>
      <c r="C499" t="b">
        <f t="shared" ca="1" si="57"/>
        <v>0</v>
      </c>
      <c r="D499">
        <f t="shared" ca="1" si="58"/>
        <v>26</v>
      </c>
      <c r="E499">
        <f t="shared" ca="1" si="59"/>
        <v>30</v>
      </c>
      <c r="F499" s="26">
        <f t="shared" ca="1" si="60"/>
        <v>4559.2541087276204</v>
      </c>
      <c r="G499" s="26">
        <f t="shared" ca="1" si="61"/>
        <v>4559.3430309887199</v>
      </c>
      <c r="H499" t="str">
        <f t="shared" ca="1" si="62"/>
        <v>Static</v>
      </c>
      <c r="I499" s="26">
        <f t="shared" ca="1" si="63"/>
        <v>-8.8922261099469324E-2</v>
      </c>
    </row>
    <row r="500" spans="1:9" x14ac:dyDescent="0.2">
      <c r="A500">
        <v>497</v>
      </c>
      <c r="B500" s="30">
        <f t="shared" ca="1" si="56"/>
        <v>0.63027455774553831</v>
      </c>
      <c r="C500" t="b">
        <f t="shared" ca="1" si="57"/>
        <v>0</v>
      </c>
      <c r="D500">
        <f t="shared" ca="1" si="58"/>
        <v>26</v>
      </c>
      <c r="E500">
        <f t="shared" ca="1" si="59"/>
        <v>30</v>
      </c>
      <c r="F500" s="26">
        <f t="shared" ca="1" si="60"/>
        <v>4558.1703082849808</v>
      </c>
      <c r="G500" s="26">
        <f t="shared" ca="1" si="61"/>
        <v>4560.5311960529543</v>
      </c>
      <c r="H500" t="str">
        <f t="shared" ca="1" si="62"/>
        <v>Static</v>
      </c>
      <c r="I500" s="26">
        <f t="shared" ca="1" si="63"/>
        <v>-2.3608877679735087</v>
      </c>
    </row>
    <row r="501" spans="1:9" x14ac:dyDescent="0.2">
      <c r="A501">
        <v>498</v>
      </c>
      <c r="B501" s="30">
        <f t="shared" ca="1" si="56"/>
        <v>0.6333927982357942</v>
      </c>
      <c r="C501" t="b">
        <f t="shared" ca="1" si="57"/>
        <v>0</v>
      </c>
      <c r="D501">
        <f t="shared" ca="1" si="58"/>
        <v>30</v>
      </c>
      <c r="E501">
        <f t="shared" ca="1" si="59"/>
        <v>30</v>
      </c>
      <c r="F501" s="26">
        <f t="shared" ca="1" si="60"/>
        <v>4560.6919816020654</v>
      </c>
      <c r="G501" s="26">
        <f t="shared" ca="1" si="61"/>
        <v>4558.865956978897</v>
      </c>
      <c r="H501" t="str">
        <f t="shared" ca="1" si="62"/>
        <v>Reactive</v>
      </c>
      <c r="I501" s="26">
        <f t="shared" ca="1" si="63"/>
        <v>1.8260246231684505</v>
      </c>
    </row>
    <row r="502" spans="1:9" x14ac:dyDescent="0.2">
      <c r="A502">
        <v>499</v>
      </c>
      <c r="B502" s="30">
        <f t="shared" ca="1" si="56"/>
        <v>0.18085034099410657</v>
      </c>
      <c r="C502" t="b">
        <f t="shared" ca="1" si="57"/>
        <v>1</v>
      </c>
      <c r="D502">
        <f t="shared" ca="1" si="58"/>
        <v>28</v>
      </c>
      <c r="E502">
        <f t="shared" ca="1" si="59"/>
        <v>28</v>
      </c>
      <c r="F502" s="26">
        <f t="shared" ca="1" si="60"/>
        <v>4557.965320993605</v>
      </c>
      <c r="G502" s="26">
        <f t="shared" ca="1" si="61"/>
        <v>4543.7454100035884</v>
      </c>
      <c r="H502" t="str">
        <f t="shared" ca="1" si="62"/>
        <v>Reactive</v>
      </c>
      <c r="I502" s="26">
        <f t="shared" ca="1" si="63"/>
        <v>14.219910990016615</v>
      </c>
    </row>
    <row r="503" spans="1:9" x14ac:dyDescent="0.2">
      <c r="A503">
        <v>500</v>
      </c>
      <c r="B503" s="30">
        <f t="shared" ca="1" si="56"/>
        <v>3.1042501424270452E-2</v>
      </c>
      <c r="C503" t="b">
        <f t="shared" ca="1" si="57"/>
        <v>1</v>
      </c>
      <c r="D503">
        <f t="shared" ca="1" si="58"/>
        <v>27</v>
      </c>
      <c r="E503">
        <f t="shared" ca="1" si="59"/>
        <v>27</v>
      </c>
      <c r="F503" s="26">
        <f t="shared" ca="1" si="60"/>
        <v>4557.5703388521697</v>
      </c>
      <c r="G503" s="26">
        <f t="shared" ca="1" si="61"/>
        <v>4541.5142385560948</v>
      </c>
      <c r="H503" t="str">
        <f t="shared" ca="1" si="62"/>
        <v>Reactive</v>
      </c>
      <c r="I503" s="26">
        <f t="shared" ca="1" si="63"/>
        <v>16.056100296074874</v>
      </c>
    </row>
    <row r="504" spans="1:9" x14ac:dyDescent="0.2">
      <c r="A504">
        <v>501</v>
      </c>
      <c r="B504" s="30">
        <f t="shared" ca="1" si="56"/>
        <v>0.15126665324904354</v>
      </c>
      <c r="C504" t="b">
        <f t="shared" ca="1" si="57"/>
        <v>1</v>
      </c>
      <c r="D504">
        <f t="shared" ca="1" si="58"/>
        <v>29</v>
      </c>
      <c r="E504">
        <f t="shared" ca="1" si="59"/>
        <v>29</v>
      </c>
      <c r="F504" s="26">
        <f t="shared" ca="1" si="60"/>
        <v>4559.2396623226441</v>
      </c>
      <c r="G504" s="26">
        <f t="shared" ca="1" si="61"/>
        <v>4543.4101408896531</v>
      </c>
      <c r="H504" t="str">
        <f t="shared" ca="1" si="62"/>
        <v>Reactive</v>
      </c>
      <c r="I504" s="26">
        <f t="shared" ca="1" si="63"/>
        <v>15.829521432990987</v>
      </c>
    </row>
    <row r="505" spans="1:9" x14ac:dyDescent="0.2">
      <c r="A505">
        <v>502</v>
      </c>
      <c r="B505" s="30">
        <f t="shared" ca="1" si="56"/>
        <v>0.78775122764867056</v>
      </c>
      <c r="C505" t="b">
        <f t="shared" ca="1" si="57"/>
        <v>0</v>
      </c>
      <c r="D505">
        <f t="shared" ca="1" si="58"/>
        <v>28</v>
      </c>
      <c r="E505">
        <f t="shared" ca="1" si="59"/>
        <v>30</v>
      </c>
      <c r="F505" s="26">
        <f t="shared" ca="1" si="60"/>
        <v>4558.7579686544377</v>
      </c>
      <c r="G505" s="26">
        <f t="shared" ca="1" si="61"/>
        <v>4559.8766164548333</v>
      </c>
      <c r="H505" t="str">
        <f t="shared" ca="1" si="62"/>
        <v>Static</v>
      </c>
      <c r="I505" s="26">
        <f t="shared" ca="1" si="63"/>
        <v>-1.1186478003955926</v>
      </c>
    </row>
    <row r="506" spans="1:9" x14ac:dyDescent="0.2">
      <c r="A506">
        <v>503</v>
      </c>
      <c r="B506" s="30">
        <f t="shared" ca="1" si="56"/>
        <v>5.6185675577882788E-2</v>
      </c>
      <c r="C506" t="b">
        <f t="shared" ca="1" si="57"/>
        <v>1</v>
      </c>
      <c r="D506">
        <f t="shared" ca="1" si="58"/>
        <v>27</v>
      </c>
      <c r="E506">
        <f t="shared" ca="1" si="59"/>
        <v>27</v>
      </c>
      <c r="F506" s="26">
        <f t="shared" ca="1" si="60"/>
        <v>4559.0436369862864</v>
      </c>
      <c r="G506" s="26">
        <f t="shared" ca="1" si="61"/>
        <v>4541.8566631377798</v>
      </c>
      <c r="H506" t="str">
        <f t="shared" ca="1" si="62"/>
        <v>Reactive</v>
      </c>
      <c r="I506" s="26">
        <f t="shared" ca="1" si="63"/>
        <v>17.186973848506568</v>
      </c>
    </row>
    <row r="507" spans="1:9" x14ac:dyDescent="0.2">
      <c r="A507">
        <v>504</v>
      </c>
      <c r="B507" s="30">
        <f t="shared" ca="1" si="56"/>
        <v>0.50454508436975265</v>
      </c>
      <c r="C507" t="b">
        <f t="shared" ca="1" si="57"/>
        <v>0</v>
      </c>
      <c r="D507">
        <f t="shared" ca="1" si="58"/>
        <v>27</v>
      </c>
      <c r="E507">
        <f t="shared" ca="1" si="59"/>
        <v>30</v>
      </c>
      <c r="F507" s="26">
        <f t="shared" ca="1" si="60"/>
        <v>4560.0162194085378</v>
      </c>
      <c r="G507" s="26">
        <f t="shared" ca="1" si="61"/>
        <v>4559.8445126230263</v>
      </c>
      <c r="H507" t="str">
        <f t="shared" ca="1" si="62"/>
        <v>Reactive</v>
      </c>
      <c r="I507" s="26">
        <f t="shared" ca="1" si="63"/>
        <v>0.17170678551156016</v>
      </c>
    </row>
    <row r="508" spans="1:9" x14ac:dyDescent="0.2">
      <c r="A508">
        <v>505</v>
      </c>
      <c r="B508" s="30">
        <f t="shared" ca="1" si="56"/>
        <v>0.33978424265072149</v>
      </c>
      <c r="C508" t="b">
        <f t="shared" ca="1" si="57"/>
        <v>1</v>
      </c>
      <c r="D508">
        <f t="shared" ca="1" si="58"/>
        <v>26</v>
      </c>
      <c r="E508">
        <f t="shared" ca="1" si="59"/>
        <v>26</v>
      </c>
      <c r="F508" s="26">
        <f t="shared" ca="1" si="60"/>
        <v>4558.2459304431259</v>
      </c>
      <c r="G508" s="26">
        <f t="shared" ca="1" si="61"/>
        <v>4541.6188883814921</v>
      </c>
      <c r="H508" t="str">
        <f t="shared" ca="1" si="62"/>
        <v>Reactive</v>
      </c>
      <c r="I508" s="26">
        <f t="shared" ca="1" si="63"/>
        <v>16.627042061633801</v>
      </c>
    </row>
    <row r="509" spans="1:9" x14ac:dyDescent="0.2">
      <c r="A509">
        <v>506</v>
      </c>
      <c r="B509" s="30">
        <f t="shared" ca="1" si="56"/>
        <v>0.47452659772337435</v>
      </c>
      <c r="C509" t="b">
        <f t="shared" ca="1" si="57"/>
        <v>0</v>
      </c>
      <c r="D509">
        <f t="shared" ca="1" si="58"/>
        <v>29</v>
      </c>
      <c r="E509">
        <f t="shared" ca="1" si="59"/>
        <v>30</v>
      </c>
      <c r="F509" s="26">
        <f t="shared" ca="1" si="60"/>
        <v>4558.0325196861422</v>
      </c>
      <c r="G509" s="26">
        <f t="shared" ca="1" si="61"/>
        <v>4562.2350292546498</v>
      </c>
      <c r="H509" t="str">
        <f t="shared" ca="1" si="62"/>
        <v>Static</v>
      </c>
      <c r="I509" s="26">
        <f t="shared" ca="1" si="63"/>
        <v>-4.2025095685075939</v>
      </c>
    </row>
    <row r="510" spans="1:9" x14ac:dyDescent="0.2">
      <c r="A510">
        <v>507</v>
      </c>
      <c r="B510" s="30">
        <f t="shared" ca="1" si="56"/>
        <v>0.55588573204627856</v>
      </c>
      <c r="C510" t="b">
        <f t="shared" ca="1" si="57"/>
        <v>0</v>
      </c>
      <c r="D510">
        <f t="shared" ca="1" si="58"/>
        <v>29</v>
      </c>
      <c r="E510">
        <f t="shared" ca="1" si="59"/>
        <v>30</v>
      </c>
      <c r="F510" s="26">
        <f t="shared" ca="1" si="60"/>
        <v>4557.8738467770108</v>
      </c>
      <c r="G510" s="26">
        <f t="shared" ca="1" si="61"/>
        <v>4561.7641865804271</v>
      </c>
      <c r="H510" t="str">
        <f t="shared" ca="1" si="62"/>
        <v>Static</v>
      </c>
      <c r="I510" s="26">
        <f t="shared" ca="1" si="63"/>
        <v>-3.8903398034162819</v>
      </c>
    </row>
    <row r="511" spans="1:9" x14ac:dyDescent="0.2">
      <c r="A511">
        <v>508</v>
      </c>
      <c r="B511" s="30">
        <f t="shared" ca="1" si="56"/>
        <v>0.74521272385070825</v>
      </c>
      <c r="C511" t="b">
        <f t="shared" ca="1" si="57"/>
        <v>0</v>
      </c>
      <c r="D511">
        <f t="shared" ca="1" si="58"/>
        <v>29</v>
      </c>
      <c r="E511">
        <f t="shared" ca="1" si="59"/>
        <v>30</v>
      </c>
      <c r="F511" s="26">
        <f t="shared" ca="1" si="60"/>
        <v>4559.2762885662742</v>
      </c>
      <c r="G511" s="26">
        <f t="shared" ca="1" si="61"/>
        <v>4560.7770418818072</v>
      </c>
      <c r="H511" t="str">
        <f t="shared" ca="1" si="62"/>
        <v>Static</v>
      </c>
      <c r="I511" s="26">
        <f t="shared" ca="1" si="63"/>
        <v>-1.5007533155330748</v>
      </c>
    </row>
    <row r="512" spans="1:9" x14ac:dyDescent="0.2">
      <c r="A512">
        <v>509</v>
      </c>
      <c r="B512" s="30">
        <f t="shared" ca="1" si="56"/>
        <v>5.9732153789612719E-2</v>
      </c>
      <c r="C512" t="b">
        <f t="shared" ca="1" si="57"/>
        <v>1</v>
      </c>
      <c r="D512">
        <f t="shared" ca="1" si="58"/>
        <v>28</v>
      </c>
      <c r="E512">
        <f t="shared" ca="1" si="59"/>
        <v>28</v>
      </c>
      <c r="F512" s="26">
        <f t="shared" ca="1" si="60"/>
        <v>4560.4170245282448</v>
      </c>
      <c r="G512" s="26">
        <f t="shared" ca="1" si="61"/>
        <v>4542.7028876467384</v>
      </c>
      <c r="H512" t="str">
        <f t="shared" ca="1" si="62"/>
        <v>Reactive</v>
      </c>
      <c r="I512" s="26">
        <f t="shared" ca="1" si="63"/>
        <v>17.71413688150642</v>
      </c>
    </row>
    <row r="513" spans="1:9" x14ac:dyDescent="0.2">
      <c r="A513">
        <v>510</v>
      </c>
      <c r="B513" s="30">
        <f t="shared" ca="1" si="56"/>
        <v>0.72090123977801468</v>
      </c>
      <c r="C513" t="b">
        <f t="shared" ca="1" si="57"/>
        <v>0</v>
      </c>
      <c r="D513">
        <f t="shared" ca="1" si="58"/>
        <v>30</v>
      </c>
      <c r="E513">
        <f t="shared" ca="1" si="59"/>
        <v>30</v>
      </c>
      <c r="F513" s="26">
        <f t="shared" ca="1" si="60"/>
        <v>4558.2971038116539</v>
      </c>
      <c r="G513" s="26">
        <f t="shared" ca="1" si="61"/>
        <v>4559.8615160588924</v>
      </c>
      <c r="H513" t="str">
        <f t="shared" ca="1" si="62"/>
        <v>Static</v>
      </c>
      <c r="I513" s="26">
        <f t="shared" ca="1" si="63"/>
        <v>-1.5644122472385789</v>
      </c>
    </row>
    <row r="514" spans="1:9" x14ac:dyDescent="0.2">
      <c r="A514">
        <v>511</v>
      </c>
      <c r="B514" s="30">
        <f t="shared" ca="1" si="56"/>
        <v>0.70705076937178113</v>
      </c>
      <c r="C514" t="b">
        <f t="shared" ca="1" si="57"/>
        <v>0</v>
      </c>
      <c r="D514">
        <f t="shared" ca="1" si="58"/>
        <v>26</v>
      </c>
      <c r="E514">
        <f t="shared" ca="1" si="59"/>
        <v>30</v>
      </c>
      <c r="F514" s="26">
        <f t="shared" ca="1" si="60"/>
        <v>4558.8231563276322</v>
      </c>
      <c r="G514" s="26">
        <f t="shared" ca="1" si="61"/>
        <v>4559.2230277380886</v>
      </c>
      <c r="H514" t="str">
        <f t="shared" ca="1" si="62"/>
        <v>Static</v>
      </c>
      <c r="I514" s="26">
        <f t="shared" ca="1" si="63"/>
        <v>-0.39987141045639873</v>
      </c>
    </row>
    <row r="515" spans="1:9" x14ac:dyDescent="0.2">
      <c r="A515">
        <v>512</v>
      </c>
      <c r="B515" s="30">
        <f t="shared" ca="1" si="56"/>
        <v>0.84601576856609706</v>
      </c>
      <c r="C515" t="b">
        <f t="shared" ca="1" si="57"/>
        <v>0</v>
      </c>
      <c r="D515">
        <f t="shared" ca="1" si="58"/>
        <v>29</v>
      </c>
      <c r="E515">
        <f t="shared" ca="1" si="59"/>
        <v>30</v>
      </c>
      <c r="F515" s="26">
        <f t="shared" ca="1" si="60"/>
        <v>4558.2284884327673</v>
      </c>
      <c r="G515" s="26">
        <f t="shared" ca="1" si="61"/>
        <v>4560.2736023730631</v>
      </c>
      <c r="H515" t="str">
        <f t="shared" ca="1" si="62"/>
        <v>Static</v>
      </c>
      <c r="I515" s="26">
        <f t="shared" ca="1" si="63"/>
        <v>-2.0451139402957779</v>
      </c>
    </row>
    <row r="516" spans="1:9" x14ac:dyDescent="0.2">
      <c r="A516">
        <v>513</v>
      </c>
      <c r="B516" s="30">
        <f t="shared" ref="B516:B579" ca="1" si="64">RAND()</f>
        <v>0.71213737017732748</v>
      </c>
      <c r="C516" t="b">
        <f t="shared" ref="C516:C579" ca="1" si="65">B516&lt;ProbSC</f>
        <v>0</v>
      </c>
      <c r="D516">
        <f t="shared" ref="D516:D579" ca="1" si="66">ReactMin+INT(RAND()*(ReactMax-ReactMin+1))</f>
        <v>29</v>
      </c>
      <c r="E516">
        <f t="shared" ref="E516:E579" ca="1" si="67">IF(C516,D516,MustLap)</f>
        <v>30</v>
      </c>
      <c r="F516" s="26">
        <f t="shared" ref="F516:F579" ca="1" si="68">BaseLap*Laps+Deg*(PlanLap*(PlanLap-1)/2+(Laps-PlanLap)*(Laps-PlanLap-1)/2)+PitGreen+NORMINV(RAND(),0,NoiseSD)</f>
        <v>4559.5797885023112</v>
      </c>
      <c r="G516" s="26">
        <f t="shared" ref="G516:G579" ca="1" si="69">BaseLap*Laps+Deg*(E516*(E516-1)/2+(Laps-E516)*(Laps-E516-1)/2)+IF(C516,PitSC,PitGreen)+NORMINV(RAND(),0,NoiseSD)</f>
        <v>4560.3463593445749</v>
      </c>
      <c r="H516" t="str">
        <f t="shared" ref="H516:H579" ca="1" si="70">IF(F516&lt;G516,"Static","Reactive")</f>
        <v>Static</v>
      </c>
      <c r="I516" s="26">
        <f t="shared" ref="I516:I579" ca="1" si="71">F516-G516</f>
        <v>-0.76657084226371808</v>
      </c>
    </row>
    <row r="517" spans="1:9" x14ac:dyDescent="0.2">
      <c r="A517">
        <v>514</v>
      </c>
      <c r="B517" s="30">
        <f t="shared" ca="1" si="64"/>
        <v>0.55393412562284661</v>
      </c>
      <c r="C517" t="b">
        <f t="shared" ca="1" si="65"/>
        <v>0</v>
      </c>
      <c r="D517">
        <f t="shared" ca="1" si="66"/>
        <v>28</v>
      </c>
      <c r="E517">
        <f t="shared" ca="1" si="67"/>
        <v>30</v>
      </c>
      <c r="F517" s="26">
        <f t="shared" ca="1" si="68"/>
        <v>4559.224961805161</v>
      </c>
      <c r="G517" s="26">
        <f t="shared" ca="1" si="69"/>
        <v>4560.5930984008619</v>
      </c>
      <c r="H517" t="str">
        <f t="shared" ca="1" si="70"/>
        <v>Static</v>
      </c>
      <c r="I517" s="26">
        <f t="shared" ca="1" si="71"/>
        <v>-1.3681365957008893</v>
      </c>
    </row>
    <row r="518" spans="1:9" x14ac:dyDescent="0.2">
      <c r="A518">
        <v>515</v>
      </c>
      <c r="B518" s="30">
        <f t="shared" ca="1" si="64"/>
        <v>0.19354401137830513</v>
      </c>
      <c r="C518" t="b">
        <f t="shared" ca="1" si="65"/>
        <v>1</v>
      </c>
      <c r="D518">
        <f t="shared" ca="1" si="66"/>
        <v>29</v>
      </c>
      <c r="E518">
        <f t="shared" ca="1" si="67"/>
        <v>29</v>
      </c>
      <c r="F518" s="26">
        <f t="shared" ca="1" si="68"/>
        <v>4559.1770355603239</v>
      </c>
      <c r="G518" s="26">
        <f t="shared" ca="1" si="69"/>
        <v>4543.066512084014</v>
      </c>
      <c r="H518" t="str">
        <f t="shared" ca="1" si="70"/>
        <v>Reactive</v>
      </c>
      <c r="I518" s="26">
        <f t="shared" ca="1" si="71"/>
        <v>16.110523476309936</v>
      </c>
    </row>
    <row r="519" spans="1:9" x14ac:dyDescent="0.2">
      <c r="A519">
        <v>516</v>
      </c>
      <c r="B519" s="30">
        <f t="shared" ca="1" si="64"/>
        <v>0.31695566065011993</v>
      </c>
      <c r="C519" t="b">
        <f t="shared" ca="1" si="65"/>
        <v>1</v>
      </c>
      <c r="D519">
        <f t="shared" ca="1" si="66"/>
        <v>28</v>
      </c>
      <c r="E519">
        <f t="shared" ca="1" si="67"/>
        <v>28</v>
      </c>
      <c r="F519" s="26">
        <f t="shared" ca="1" si="68"/>
        <v>4560.4916045387226</v>
      </c>
      <c r="G519" s="26">
        <f t="shared" ca="1" si="69"/>
        <v>4542.467470383569</v>
      </c>
      <c r="H519" t="str">
        <f t="shared" ca="1" si="70"/>
        <v>Reactive</v>
      </c>
      <c r="I519" s="26">
        <f t="shared" ca="1" si="71"/>
        <v>18.024134155153661</v>
      </c>
    </row>
    <row r="520" spans="1:9" x14ac:dyDescent="0.2">
      <c r="A520">
        <v>517</v>
      </c>
      <c r="B520" s="30">
        <f t="shared" ca="1" si="64"/>
        <v>0.62794804275662042</v>
      </c>
      <c r="C520" t="b">
        <f t="shared" ca="1" si="65"/>
        <v>0</v>
      </c>
      <c r="D520">
        <f t="shared" ca="1" si="66"/>
        <v>28</v>
      </c>
      <c r="E520">
        <f t="shared" ca="1" si="67"/>
        <v>30</v>
      </c>
      <c r="F520" s="26">
        <f t="shared" ca="1" si="68"/>
        <v>4560.0965776997418</v>
      </c>
      <c r="G520" s="26">
        <f t="shared" ca="1" si="69"/>
        <v>4560.5507799277957</v>
      </c>
      <c r="H520" t="str">
        <f t="shared" ca="1" si="70"/>
        <v>Static</v>
      </c>
      <c r="I520" s="26">
        <f t="shared" ca="1" si="71"/>
        <v>-0.45420222805387311</v>
      </c>
    </row>
    <row r="521" spans="1:9" x14ac:dyDescent="0.2">
      <c r="A521">
        <v>518</v>
      </c>
      <c r="B521" s="30">
        <f t="shared" ca="1" si="64"/>
        <v>0.71259855715598996</v>
      </c>
      <c r="C521" t="b">
        <f t="shared" ca="1" si="65"/>
        <v>0</v>
      </c>
      <c r="D521">
        <f t="shared" ca="1" si="66"/>
        <v>30</v>
      </c>
      <c r="E521">
        <f t="shared" ca="1" si="67"/>
        <v>30</v>
      </c>
      <c r="F521" s="26">
        <f t="shared" ca="1" si="68"/>
        <v>4558.9433783302056</v>
      </c>
      <c r="G521" s="26">
        <f t="shared" ca="1" si="69"/>
        <v>4563.5035782036166</v>
      </c>
      <c r="H521" t="str">
        <f t="shared" ca="1" si="70"/>
        <v>Static</v>
      </c>
      <c r="I521" s="26">
        <f t="shared" ca="1" si="71"/>
        <v>-4.5601998734109657</v>
      </c>
    </row>
    <row r="522" spans="1:9" x14ac:dyDescent="0.2">
      <c r="A522">
        <v>519</v>
      </c>
      <c r="B522" s="30">
        <f t="shared" ca="1" si="64"/>
        <v>0.92172564627371856</v>
      </c>
      <c r="C522" t="b">
        <f t="shared" ca="1" si="65"/>
        <v>0</v>
      </c>
      <c r="D522">
        <f t="shared" ca="1" si="66"/>
        <v>26</v>
      </c>
      <c r="E522">
        <f t="shared" ca="1" si="67"/>
        <v>30</v>
      </c>
      <c r="F522" s="26">
        <f t="shared" ca="1" si="68"/>
        <v>4559.2695447928254</v>
      </c>
      <c r="G522" s="26">
        <f t="shared" ca="1" si="69"/>
        <v>4558.7839336197394</v>
      </c>
      <c r="H522" t="str">
        <f t="shared" ca="1" si="70"/>
        <v>Reactive</v>
      </c>
      <c r="I522" s="26">
        <f t="shared" ca="1" si="71"/>
        <v>0.48561117308599933</v>
      </c>
    </row>
    <row r="523" spans="1:9" x14ac:dyDescent="0.2">
      <c r="A523">
        <v>520</v>
      </c>
      <c r="B523" s="30">
        <f t="shared" ca="1" si="64"/>
        <v>0.35198149275703106</v>
      </c>
      <c r="C523" t="b">
        <f t="shared" ca="1" si="65"/>
        <v>0</v>
      </c>
      <c r="D523">
        <f t="shared" ca="1" si="66"/>
        <v>26</v>
      </c>
      <c r="E523">
        <f t="shared" ca="1" si="67"/>
        <v>30</v>
      </c>
      <c r="F523" s="26">
        <f t="shared" ca="1" si="68"/>
        <v>4557.1078223622762</v>
      </c>
      <c r="G523" s="26">
        <f t="shared" ca="1" si="69"/>
        <v>4560.854111641167</v>
      </c>
      <c r="H523" t="str">
        <f t="shared" ca="1" si="70"/>
        <v>Static</v>
      </c>
      <c r="I523" s="26">
        <f t="shared" ca="1" si="71"/>
        <v>-3.7462892788907993</v>
      </c>
    </row>
    <row r="524" spans="1:9" x14ac:dyDescent="0.2">
      <c r="A524">
        <v>521</v>
      </c>
      <c r="B524" s="30">
        <f t="shared" ca="1" si="64"/>
        <v>0.88498259017578285</v>
      </c>
      <c r="C524" t="b">
        <f t="shared" ca="1" si="65"/>
        <v>0</v>
      </c>
      <c r="D524">
        <f t="shared" ca="1" si="66"/>
        <v>26</v>
      </c>
      <c r="E524">
        <f t="shared" ca="1" si="67"/>
        <v>30</v>
      </c>
      <c r="F524" s="26">
        <f t="shared" ca="1" si="68"/>
        <v>4559.0020760314865</v>
      </c>
      <c r="G524" s="26">
        <f t="shared" ca="1" si="69"/>
        <v>4561.4552485744007</v>
      </c>
      <c r="H524" t="str">
        <f t="shared" ca="1" si="70"/>
        <v>Static</v>
      </c>
      <c r="I524" s="26">
        <f t="shared" ca="1" si="71"/>
        <v>-2.453172542914217</v>
      </c>
    </row>
    <row r="525" spans="1:9" x14ac:dyDescent="0.2">
      <c r="A525">
        <v>522</v>
      </c>
      <c r="B525" s="30">
        <f t="shared" ca="1" si="64"/>
        <v>0.13687080708090882</v>
      </c>
      <c r="C525" t="b">
        <f t="shared" ca="1" si="65"/>
        <v>1</v>
      </c>
      <c r="D525">
        <f t="shared" ca="1" si="66"/>
        <v>27</v>
      </c>
      <c r="E525">
        <f t="shared" ca="1" si="67"/>
        <v>27</v>
      </c>
      <c r="F525" s="26">
        <f t="shared" ca="1" si="68"/>
        <v>4558.978579901921</v>
      </c>
      <c r="G525" s="26">
        <f t="shared" ca="1" si="69"/>
        <v>4542.5756665737899</v>
      </c>
      <c r="H525" t="str">
        <f t="shared" ca="1" si="70"/>
        <v>Reactive</v>
      </c>
      <c r="I525" s="26">
        <f t="shared" ca="1" si="71"/>
        <v>16.402913328131035</v>
      </c>
    </row>
    <row r="526" spans="1:9" x14ac:dyDescent="0.2">
      <c r="A526">
        <v>523</v>
      </c>
      <c r="B526" s="30">
        <f t="shared" ca="1" si="64"/>
        <v>1.4778596951808387E-2</v>
      </c>
      <c r="C526" t="b">
        <f t="shared" ca="1" si="65"/>
        <v>1</v>
      </c>
      <c r="D526">
        <f t="shared" ca="1" si="66"/>
        <v>27</v>
      </c>
      <c r="E526">
        <f t="shared" ca="1" si="67"/>
        <v>27</v>
      </c>
      <c r="F526" s="26">
        <f t="shared" ca="1" si="68"/>
        <v>4559.0563195789791</v>
      </c>
      <c r="G526" s="26">
        <f t="shared" ca="1" si="69"/>
        <v>4543.9162552975195</v>
      </c>
      <c r="H526" t="str">
        <f t="shared" ca="1" si="70"/>
        <v>Reactive</v>
      </c>
      <c r="I526" s="26">
        <f t="shared" ca="1" si="71"/>
        <v>15.140064281459672</v>
      </c>
    </row>
    <row r="527" spans="1:9" x14ac:dyDescent="0.2">
      <c r="A527">
        <v>524</v>
      </c>
      <c r="B527" s="30">
        <f t="shared" ca="1" si="64"/>
        <v>0.5658307372876189</v>
      </c>
      <c r="C527" t="b">
        <f t="shared" ca="1" si="65"/>
        <v>0</v>
      </c>
      <c r="D527">
        <f t="shared" ca="1" si="66"/>
        <v>29</v>
      </c>
      <c r="E527">
        <f t="shared" ca="1" si="67"/>
        <v>30</v>
      </c>
      <c r="F527" s="26">
        <f t="shared" ca="1" si="68"/>
        <v>4560.6379761866838</v>
      </c>
      <c r="G527" s="26">
        <f t="shared" ca="1" si="69"/>
        <v>4559.9599345636216</v>
      </c>
      <c r="H527" t="str">
        <f t="shared" ca="1" si="70"/>
        <v>Reactive</v>
      </c>
      <c r="I527" s="26">
        <f t="shared" ca="1" si="71"/>
        <v>0.67804162306219951</v>
      </c>
    </row>
    <row r="528" spans="1:9" x14ac:dyDescent="0.2">
      <c r="A528">
        <v>525</v>
      </c>
      <c r="B528" s="30">
        <f t="shared" ca="1" si="64"/>
        <v>0.50588578709754983</v>
      </c>
      <c r="C528" t="b">
        <f t="shared" ca="1" si="65"/>
        <v>0</v>
      </c>
      <c r="D528">
        <f t="shared" ca="1" si="66"/>
        <v>29</v>
      </c>
      <c r="E528">
        <f t="shared" ca="1" si="67"/>
        <v>30</v>
      </c>
      <c r="F528" s="26">
        <f t="shared" ca="1" si="68"/>
        <v>4559.512849455281</v>
      </c>
      <c r="G528" s="26">
        <f t="shared" ca="1" si="69"/>
        <v>4562.146214362152</v>
      </c>
      <c r="H528" t="str">
        <f t="shared" ca="1" si="70"/>
        <v>Static</v>
      </c>
      <c r="I528" s="26">
        <f t="shared" ca="1" si="71"/>
        <v>-2.6333649068710656</v>
      </c>
    </row>
    <row r="529" spans="1:9" x14ac:dyDescent="0.2">
      <c r="A529">
        <v>526</v>
      </c>
      <c r="B529" s="30">
        <f t="shared" ca="1" si="64"/>
        <v>0.98176249143149352</v>
      </c>
      <c r="C529" t="b">
        <f t="shared" ca="1" si="65"/>
        <v>0</v>
      </c>
      <c r="D529">
        <f t="shared" ca="1" si="66"/>
        <v>28</v>
      </c>
      <c r="E529">
        <f t="shared" ca="1" si="67"/>
        <v>30</v>
      </c>
      <c r="F529" s="26">
        <f t="shared" ca="1" si="68"/>
        <v>4559.4795786366676</v>
      </c>
      <c r="G529" s="26">
        <f t="shared" ca="1" si="69"/>
        <v>4559.7106592080008</v>
      </c>
      <c r="H529" t="str">
        <f t="shared" ca="1" si="70"/>
        <v>Static</v>
      </c>
      <c r="I529" s="26">
        <f t="shared" ca="1" si="71"/>
        <v>-0.23108057133322291</v>
      </c>
    </row>
    <row r="530" spans="1:9" x14ac:dyDescent="0.2">
      <c r="A530">
        <v>527</v>
      </c>
      <c r="B530" s="30">
        <f t="shared" ca="1" si="64"/>
        <v>0.34757727578553366</v>
      </c>
      <c r="C530" t="b">
        <f t="shared" ca="1" si="65"/>
        <v>1</v>
      </c>
      <c r="D530">
        <f t="shared" ca="1" si="66"/>
        <v>30</v>
      </c>
      <c r="E530">
        <f t="shared" ca="1" si="67"/>
        <v>30</v>
      </c>
      <c r="F530" s="26">
        <f t="shared" ca="1" si="68"/>
        <v>4558.7257295160543</v>
      </c>
      <c r="G530" s="26">
        <f t="shared" ca="1" si="69"/>
        <v>4542.9709253133697</v>
      </c>
      <c r="H530" t="str">
        <f t="shared" ca="1" si="70"/>
        <v>Reactive</v>
      </c>
      <c r="I530" s="26">
        <f t="shared" ca="1" si="71"/>
        <v>15.754804202684682</v>
      </c>
    </row>
    <row r="531" spans="1:9" x14ac:dyDescent="0.2">
      <c r="A531">
        <v>528</v>
      </c>
      <c r="B531" s="30">
        <f t="shared" ca="1" si="64"/>
        <v>0.38543133688027986</v>
      </c>
      <c r="C531" t="b">
        <f t="shared" ca="1" si="65"/>
        <v>0</v>
      </c>
      <c r="D531">
        <f t="shared" ca="1" si="66"/>
        <v>30</v>
      </c>
      <c r="E531">
        <f t="shared" ca="1" si="67"/>
        <v>30</v>
      </c>
      <c r="F531" s="26">
        <f t="shared" ca="1" si="68"/>
        <v>4560.0333750345981</v>
      </c>
      <c r="G531" s="26">
        <f t="shared" ca="1" si="69"/>
        <v>4560.7939779829221</v>
      </c>
      <c r="H531" t="str">
        <f t="shared" ca="1" si="70"/>
        <v>Static</v>
      </c>
      <c r="I531" s="26">
        <f t="shared" ca="1" si="71"/>
        <v>-0.76060294832404907</v>
      </c>
    </row>
    <row r="532" spans="1:9" x14ac:dyDescent="0.2">
      <c r="A532">
        <v>529</v>
      </c>
      <c r="B532" s="30">
        <f t="shared" ca="1" si="64"/>
        <v>0.82792971329484788</v>
      </c>
      <c r="C532" t="b">
        <f t="shared" ca="1" si="65"/>
        <v>0</v>
      </c>
      <c r="D532">
        <f t="shared" ca="1" si="66"/>
        <v>26</v>
      </c>
      <c r="E532">
        <f t="shared" ca="1" si="67"/>
        <v>30</v>
      </c>
      <c r="F532" s="26">
        <f t="shared" ca="1" si="68"/>
        <v>4560.6296273234184</v>
      </c>
      <c r="G532" s="26">
        <f t="shared" ca="1" si="69"/>
        <v>4558.7716335620144</v>
      </c>
      <c r="H532" t="str">
        <f t="shared" ca="1" si="70"/>
        <v>Reactive</v>
      </c>
      <c r="I532" s="26">
        <f t="shared" ca="1" si="71"/>
        <v>1.8579937614040318</v>
      </c>
    </row>
    <row r="533" spans="1:9" x14ac:dyDescent="0.2">
      <c r="A533">
        <v>530</v>
      </c>
      <c r="B533" s="30">
        <f t="shared" ca="1" si="64"/>
        <v>0.23821422143296855</v>
      </c>
      <c r="C533" t="b">
        <f t="shared" ca="1" si="65"/>
        <v>1</v>
      </c>
      <c r="D533">
        <f t="shared" ca="1" si="66"/>
        <v>29</v>
      </c>
      <c r="E533">
        <f t="shared" ca="1" si="67"/>
        <v>29</v>
      </c>
      <c r="F533" s="26">
        <f t="shared" ca="1" si="68"/>
        <v>4559.39929914607</v>
      </c>
      <c r="G533" s="26">
        <f t="shared" ca="1" si="69"/>
        <v>4541.5944156932655</v>
      </c>
      <c r="H533" t="str">
        <f t="shared" ca="1" si="70"/>
        <v>Reactive</v>
      </c>
      <c r="I533" s="26">
        <f t="shared" ca="1" si="71"/>
        <v>17.804883452804461</v>
      </c>
    </row>
    <row r="534" spans="1:9" x14ac:dyDescent="0.2">
      <c r="A534">
        <v>531</v>
      </c>
      <c r="B534" s="30">
        <f t="shared" ca="1" si="64"/>
        <v>0.27249150656806442</v>
      </c>
      <c r="C534" t="b">
        <f t="shared" ca="1" si="65"/>
        <v>1</v>
      </c>
      <c r="D534">
        <f t="shared" ca="1" si="66"/>
        <v>28</v>
      </c>
      <c r="E534">
        <f t="shared" ca="1" si="67"/>
        <v>28</v>
      </c>
      <c r="F534" s="26">
        <f t="shared" ca="1" si="68"/>
        <v>4559.1678986508523</v>
      </c>
      <c r="G534" s="26">
        <f t="shared" ca="1" si="69"/>
        <v>4543.4089877493425</v>
      </c>
      <c r="H534" t="str">
        <f t="shared" ca="1" si="70"/>
        <v>Reactive</v>
      </c>
      <c r="I534" s="26">
        <f t="shared" ca="1" si="71"/>
        <v>15.758910901509807</v>
      </c>
    </row>
    <row r="535" spans="1:9" x14ac:dyDescent="0.2">
      <c r="A535">
        <v>532</v>
      </c>
      <c r="B535" s="30">
        <f t="shared" ca="1" si="64"/>
        <v>0.85358669938920173</v>
      </c>
      <c r="C535" t="b">
        <f t="shared" ca="1" si="65"/>
        <v>0</v>
      </c>
      <c r="D535">
        <f t="shared" ca="1" si="66"/>
        <v>27</v>
      </c>
      <c r="E535">
        <f t="shared" ca="1" si="67"/>
        <v>30</v>
      </c>
      <c r="F535" s="26">
        <f t="shared" ca="1" si="68"/>
        <v>4559.981670980249</v>
      </c>
      <c r="G535" s="26">
        <f t="shared" ca="1" si="69"/>
        <v>4559.0972821313089</v>
      </c>
      <c r="H535" t="str">
        <f t="shared" ca="1" si="70"/>
        <v>Reactive</v>
      </c>
      <c r="I535" s="26">
        <f t="shared" ca="1" si="71"/>
        <v>0.88438884894003422</v>
      </c>
    </row>
    <row r="536" spans="1:9" x14ac:dyDescent="0.2">
      <c r="A536">
        <v>533</v>
      </c>
      <c r="B536" s="30">
        <f t="shared" ca="1" si="64"/>
        <v>0.39083027207905796</v>
      </c>
      <c r="C536" t="b">
        <f t="shared" ca="1" si="65"/>
        <v>0</v>
      </c>
      <c r="D536">
        <f t="shared" ca="1" si="66"/>
        <v>30</v>
      </c>
      <c r="E536">
        <f t="shared" ca="1" si="67"/>
        <v>30</v>
      </c>
      <c r="F536" s="26">
        <f t="shared" ca="1" si="68"/>
        <v>4560.189687021777</v>
      </c>
      <c r="G536" s="26">
        <f t="shared" ca="1" si="69"/>
        <v>4559.9292024191609</v>
      </c>
      <c r="H536" t="str">
        <f t="shared" ca="1" si="70"/>
        <v>Reactive</v>
      </c>
      <c r="I536" s="26">
        <f t="shared" ca="1" si="71"/>
        <v>0.26048460261608852</v>
      </c>
    </row>
    <row r="537" spans="1:9" x14ac:dyDescent="0.2">
      <c r="A537">
        <v>534</v>
      </c>
      <c r="B537" s="30">
        <f t="shared" ca="1" si="64"/>
        <v>0.47671282981476426</v>
      </c>
      <c r="C537" t="b">
        <f t="shared" ca="1" si="65"/>
        <v>0</v>
      </c>
      <c r="D537">
        <f t="shared" ca="1" si="66"/>
        <v>29</v>
      </c>
      <c r="E537">
        <f t="shared" ca="1" si="67"/>
        <v>30</v>
      </c>
      <c r="F537" s="26">
        <f t="shared" ca="1" si="68"/>
        <v>4559.4070056281089</v>
      </c>
      <c r="G537" s="26">
        <f t="shared" ca="1" si="69"/>
        <v>4560.8353197709012</v>
      </c>
      <c r="H537" t="str">
        <f t="shared" ca="1" si="70"/>
        <v>Static</v>
      </c>
      <c r="I537" s="26">
        <f t="shared" ca="1" si="71"/>
        <v>-1.4283141427922601</v>
      </c>
    </row>
    <row r="538" spans="1:9" x14ac:dyDescent="0.2">
      <c r="A538">
        <v>535</v>
      </c>
      <c r="B538" s="30">
        <f t="shared" ca="1" si="64"/>
        <v>2.123724498238222E-2</v>
      </c>
      <c r="C538" t="b">
        <f t="shared" ca="1" si="65"/>
        <v>1</v>
      </c>
      <c r="D538">
        <f t="shared" ca="1" si="66"/>
        <v>27</v>
      </c>
      <c r="E538">
        <f t="shared" ca="1" si="67"/>
        <v>27</v>
      </c>
      <c r="F538" s="26">
        <f t="shared" ca="1" si="68"/>
        <v>4557.5433496381038</v>
      </c>
      <c r="G538" s="26">
        <f t="shared" ca="1" si="69"/>
        <v>4541.213343156096</v>
      </c>
      <c r="H538" t="str">
        <f t="shared" ca="1" si="70"/>
        <v>Reactive</v>
      </c>
      <c r="I538" s="26">
        <f t="shared" ca="1" si="71"/>
        <v>16.330006482007775</v>
      </c>
    </row>
    <row r="539" spans="1:9" x14ac:dyDescent="0.2">
      <c r="A539">
        <v>536</v>
      </c>
      <c r="B539" s="30">
        <f t="shared" ca="1" si="64"/>
        <v>0.44524116436394978</v>
      </c>
      <c r="C539" t="b">
        <f t="shared" ca="1" si="65"/>
        <v>0</v>
      </c>
      <c r="D539">
        <f t="shared" ca="1" si="66"/>
        <v>30</v>
      </c>
      <c r="E539">
        <f t="shared" ca="1" si="67"/>
        <v>30</v>
      </c>
      <c r="F539" s="26">
        <f t="shared" ca="1" si="68"/>
        <v>4558.856042727808</v>
      </c>
      <c r="G539" s="26">
        <f t="shared" ca="1" si="69"/>
        <v>4560.9854131700195</v>
      </c>
      <c r="H539" t="str">
        <f t="shared" ca="1" si="70"/>
        <v>Static</v>
      </c>
      <c r="I539" s="26">
        <f t="shared" ca="1" si="71"/>
        <v>-2.1293704422114388</v>
      </c>
    </row>
    <row r="540" spans="1:9" x14ac:dyDescent="0.2">
      <c r="A540">
        <v>537</v>
      </c>
      <c r="B540" s="30">
        <f t="shared" ca="1" si="64"/>
        <v>9.021849197616616E-3</v>
      </c>
      <c r="C540" t="b">
        <f t="shared" ca="1" si="65"/>
        <v>1</v>
      </c>
      <c r="D540">
        <f t="shared" ca="1" si="66"/>
        <v>30</v>
      </c>
      <c r="E540">
        <f t="shared" ca="1" si="67"/>
        <v>30</v>
      </c>
      <c r="F540" s="26">
        <f t="shared" ca="1" si="68"/>
        <v>4558.5546266151632</v>
      </c>
      <c r="G540" s="26">
        <f t="shared" ca="1" si="69"/>
        <v>4541.7401714936232</v>
      </c>
      <c r="H540" t="str">
        <f t="shared" ca="1" si="70"/>
        <v>Reactive</v>
      </c>
      <c r="I540" s="26">
        <f t="shared" ca="1" si="71"/>
        <v>16.81445512154005</v>
      </c>
    </row>
    <row r="541" spans="1:9" x14ac:dyDescent="0.2">
      <c r="A541">
        <v>538</v>
      </c>
      <c r="B541" s="30">
        <f t="shared" ca="1" si="64"/>
        <v>0.9451039831908169</v>
      </c>
      <c r="C541" t="b">
        <f t="shared" ca="1" si="65"/>
        <v>0</v>
      </c>
      <c r="D541">
        <f t="shared" ca="1" si="66"/>
        <v>28</v>
      </c>
      <c r="E541">
        <f t="shared" ca="1" si="67"/>
        <v>30</v>
      </c>
      <c r="F541" s="26">
        <f t="shared" ca="1" si="68"/>
        <v>4557.7756607061847</v>
      </c>
      <c r="G541" s="26">
        <f t="shared" ca="1" si="69"/>
        <v>4560.24988536814</v>
      </c>
      <c r="H541" t="str">
        <f t="shared" ca="1" si="70"/>
        <v>Static</v>
      </c>
      <c r="I541" s="26">
        <f t="shared" ca="1" si="71"/>
        <v>-2.4742246619553043</v>
      </c>
    </row>
    <row r="542" spans="1:9" x14ac:dyDescent="0.2">
      <c r="A542">
        <v>539</v>
      </c>
      <c r="B542" s="30">
        <f t="shared" ca="1" si="64"/>
        <v>0.37865535940246364</v>
      </c>
      <c r="C542" t="b">
        <f t="shared" ca="1" si="65"/>
        <v>0</v>
      </c>
      <c r="D542">
        <f t="shared" ca="1" si="66"/>
        <v>26</v>
      </c>
      <c r="E542">
        <f t="shared" ca="1" si="67"/>
        <v>30</v>
      </c>
      <c r="F542" s="26">
        <f t="shared" ca="1" si="68"/>
        <v>4558.8220179342643</v>
      </c>
      <c r="G542" s="26">
        <f t="shared" ca="1" si="69"/>
        <v>4560.528898990603</v>
      </c>
      <c r="H542" t="str">
        <f t="shared" ca="1" si="70"/>
        <v>Static</v>
      </c>
      <c r="I542" s="26">
        <f t="shared" ca="1" si="71"/>
        <v>-1.706881056338716</v>
      </c>
    </row>
    <row r="543" spans="1:9" x14ac:dyDescent="0.2">
      <c r="A543">
        <v>540</v>
      </c>
      <c r="B543" s="30">
        <f t="shared" ca="1" si="64"/>
        <v>0.26085692477989142</v>
      </c>
      <c r="C543" t="b">
        <f t="shared" ca="1" si="65"/>
        <v>1</v>
      </c>
      <c r="D543">
        <f t="shared" ca="1" si="66"/>
        <v>28</v>
      </c>
      <c r="E543">
        <f t="shared" ca="1" si="67"/>
        <v>28</v>
      </c>
      <c r="F543" s="26">
        <f t="shared" ca="1" si="68"/>
        <v>4559.7312660739226</v>
      </c>
      <c r="G543" s="26">
        <f t="shared" ca="1" si="69"/>
        <v>4543.5062609544311</v>
      </c>
      <c r="H543" t="str">
        <f t="shared" ca="1" si="70"/>
        <v>Reactive</v>
      </c>
      <c r="I543" s="26">
        <f t="shared" ca="1" si="71"/>
        <v>16.22500511949147</v>
      </c>
    </row>
    <row r="544" spans="1:9" x14ac:dyDescent="0.2">
      <c r="A544">
        <v>541</v>
      </c>
      <c r="B544" s="30">
        <f t="shared" ca="1" si="64"/>
        <v>0.57884528129567714</v>
      </c>
      <c r="C544" t="b">
        <f t="shared" ca="1" si="65"/>
        <v>0</v>
      </c>
      <c r="D544">
        <f t="shared" ca="1" si="66"/>
        <v>26</v>
      </c>
      <c r="E544">
        <f t="shared" ca="1" si="67"/>
        <v>30</v>
      </c>
      <c r="F544" s="26">
        <f t="shared" ca="1" si="68"/>
        <v>4560.0377502157744</v>
      </c>
      <c r="G544" s="26">
        <f t="shared" ca="1" si="69"/>
        <v>4559.5703449920848</v>
      </c>
      <c r="H544" t="str">
        <f t="shared" ca="1" si="70"/>
        <v>Reactive</v>
      </c>
      <c r="I544" s="26">
        <f t="shared" ca="1" si="71"/>
        <v>0.46740522368963866</v>
      </c>
    </row>
    <row r="545" spans="1:9" x14ac:dyDescent="0.2">
      <c r="A545">
        <v>542</v>
      </c>
      <c r="B545" s="30">
        <f t="shared" ca="1" si="64"/>
        <v>0.61060723102541947</v>
      </c>
      <c r="C545" t="b">
        <f t="shared" ca="1" si="65"/>
        <v>0</v>
      </c>
      <c r="D545">
        <f t="shared" ca="1" si="66"/>
        <v>30</v>
      </c>
      <c r="E545">
        <f t="shared" ca="1" si="67"/>
        <v>30</v>
      </c>
      <c r="F545" s="26">
        <f t="shared" ca="1" si="68"/>
        <v>4558.9039129482726</v>
      </c>
      <c r="G545" s="26">
        <f t="shared" ca="1" si="69"/>
        <v>4560.0682554285977</v>
      </c>
      <c r="H545" t="str">
        <f t="shared" ca="1" si="70"/>
        <v>Static</v>
      </c>
      <c r="I545" s="26">
        <f t="shared" ca="1" si="71"/>
        <v>-1.1643424803251037</v>
      </c>
    </row>
    <row r="546" spans="1:9" x14ac:dyDescent="0.2">
      <c r="A546">
        <v>543</v>
      </c>
      <c r="B546" s="30">
        <f t="shared" ca="1" si="64"/>
        <v>0.30674271296537048</v>
      </c>
      <c r="C546" t="b">
        <f t="shared" ca="1" si="65"/>
        <v>1</v>
      </c>
      <c r="D546">
        <f t="shared" ca="1" si="66"/>
        <v>29</v>
      </c>
      <c r="E546">
        <f t="shared" ca="1" si="67"/>
        <v>29</v>
      </c>
      <c r="F546" s="26">
        <f t="shared" ca="1" si="68"/>
        <v>4561.1884878227875</v>
      </c>
      <c r="G546" s="26">
        <f t="shared" ca="1" si="69"/>
        <v>4541.6178329372651</v>
      </c>
      <c r="H546" t="str">
        <f t="shared" ca="1" si="70"/>
        <v>Reactive</v>
      </c>
      <c r="I546" s="26">
        <f t="shared" ca="1" si="71"/>
        <v>19.570654885522345</v>
      </c>
    </row>
    <row r="547" spans="1:9" x14ac:dyDescent="0.2">
      <c r="A547">
        <v>544</v>
      </c>
      <c r="B547" s="30">
        <f t="shared" ca="1" si="64"/>
        <v>0.95876610836776055</v>
      </c>
      <c r="C547" t="b">
        <f t="shared" ca="1" si="65"/>
        <v>0</v>
      </c>
      <c r="D547">
        <f t="shared" ca="1" si="66"/>
        <v>29</v>
      </c>
      <c r="E547">
        <f t="shared" ca="1" si="67"/>
        <v>30</v>
      </c>
      <c r="F547" s="26">
        <f t="shared" ca="1" si="68"/>
        <v>4557.4956423458725</v>
      </c>
      <c r="G547" s="26">
        <f t="shared" ca="1" si="69"/>
        <v>4560.2765967921287</v>
      </c>
      <c r="H547" t="str">
        <f t="shared" ca="1" si="70"/>
        <v>Static</v>
      </c>
      <c r="I547" s="26">
        <f t="shared" ca="1" si="71"/>
        <v>-2.7809544462561462</v>
      </c>
    </row>
    <row r="548" spans="1:9" x14ac:dyDescent="0.2">
      <c r="A548">
        <v>545</v>
      </c>
      <c r="B548" s="30">
        <f t="shared" ca="1" si="64"/>
        <v>0.3479486536703762</v>
      </c>
      <c r="C548" t="b">
        <f t="shared" ca="1" si="65"/>
        <v>1</v>
      </c>
      <c r="D548">
        <f t="shared" ca="1" si="66"/>
        <v>28</v>
      </c>
      <c r="E548">
        <f t="shared" ca="1" si="67"/>
        <v>28</v>
      </c>
      <c r="F548" s="26">
        <f t="shared" ca="1" si="68"/>
        <v>4558.6521906632352</v>
      </c>
      <c r="G548" s="26">
        <f t="shared" ca="1" si="69"/>
        <v>4542.2125633429214</v>
      </c>
      <c r="H548" t="str">
        <f t="shared" ca="1" si="70"/>
        <v>Reactive</v>
      </c>
      <c r="I548" s="26">
        <f t="shared" ca="1" si="71"/>
        <v>16.439627320313775</v>
      </c>
    </row>
    <row r="549" spans="1:9" x14ac:dyDescent="0.2">
      <c r="A549">
        <v>546</v>
      </c>
      <c r="B549" s="30">
        <f t="shared" ca="1" si="64"/>
        <v>0.50685835581038885</v>
      </c>
      <c r="C549" t="b">
        <f t="shared" ca="1" si="65"/>
        <v>0</v>
      </c>
      <c r="D549">
        <f t="shared" ca="1" si="66"/>
        <v>26</v>
      </c>
      <c r="E549">
        <f t="shared" ca="1" si="67"/>
        <v>30</v>
      </c>
      <c r="F549" s="26">
        <f t="shared" ca="1" si="68"/>
        <v>4558.0380895369135</v>
      </c>
      <c r="G549" s="26">
        <f t="shared" ca="1" si="69"/>
        <v>4561.2487641195721</v>
      </c>
      <c r="H549" t="str">
        <f t="shared" ca="1" si="70"/>
        <v>Static</v>
      </c>
      <c r="I549" s="26">
        <f t="shared" ca="1" si="71"/>
        <v>-3.2106745826586121</v>
      </c>
    </row>
    <row r="550" spans="1:9" x14ac:dyDescent="0.2">
      <c r="A550">
        <v>547</v>
      </c>
      <c r="B550" s="30">
        <f t="shared" ca="1" si="64"/>
        <v>0.48619709015219281</v>
      </c>
      <c r="C550" t="b">
        <f t="shared" ca="1" si="65"/>
        <v>0</v>
      </c>
      <c r="D550">
        <f t="shared" ca="1" si="66"/>
        <v>29</v>
      </c>
      <c r="E550">
        <f t="shared" ca="1" si="67"/>
        <v>30</v>
      </c>
      <c r="F550" s="26">
        <f t="shared" ca="1" si="68"/>
        <v>4558.4832256575155</v>
      </c>
      <c r="G550" s="26">
        <f t="shared" ca="1" si="69"/>
        <v>4559.890863129247</v>
      </c>
      <c r="H550" t="str">
        <f t="shared" ca="1" si="70"/>
        <v>Static</v>
      </c>
      <c r="I550" s="26">
        <f t="shared" ca="1" si="71"/>
        <v>-1.4076374717315048</v>
      </c>
    </row>
    <row r="551" spans="1:9" x14ac:dyDescent="0.2">
      <c r="A551">
        <v>548</v>
      </c>
      <c r="B551" s="30">
        <f t="shared" ca="1" si="64"/>
        <v>0.1323126593612296</v>
      </c>
      <c r="C551" t="b">
        <f t="shared" ca="1" si="65"/>
        <v>1</v>
      </c>
      <c r="D551">
        <f t="shared" ca="1" si="66"/>
        <v>27</v>
      </c>
      <c r="E551">
        <f t="shared" ca="1" si="67"/>
        <v>27</v>
      </c>
      <c r="F551" s="26">
        <f t="shared" ca="1" si="68"/>
        <v>4557.0064242007993</v>
      </c>
      <c r="G551" s="26">
        <f t="shared" ca="1" si="69"/>
        <v>4541.6605868014249</v>
      </c>
      <c r="H551" t="str">
        <f t="shared" ca="1" si="70"/>
        <v>Reactive</v>
      </c>
      <c r="I551" s="26">
        <f t="shared" ca="1" si="71"/>
        <v>15.345837399374432</v>
      </c>
    </row>
    <row r="552" spans="1:9" x14ac:dyDescent="0.2">
      <c r="A552">
        <v>549</v>
      </c>
      <c r="B552" s="30">
        <f t="shared" ca="1" si="64"/>
        <v>0.11667969617170892</v>
      </c>
      <c r="C552" t="b">
        <f t="shared" ca="1" si="65"/>
        <v>1</v>
      </c>
      <c r="D552">
        <f t="shared" ca="1" si="66"/>
        <v>29</v>
      </c>
      <c r="E552">
        <f t="shared" ca="1" si="67"/>
        <v>29</v>
      </c>
      <c r="F552" s="26">
        <f t="shared" ca="1" si="68"/>
        <v>4559.5010013525025</v>
      </c>
      <c r="G552" s="26">
        <f t="shared" ca="1" si="69"/>
        <v>4542.0801676025767</v>
      </c>
      <c r="H552" t="str">
        <f t="shared" ca="1" si="70"/>
        <v>Reactive</v>
      </c>
      <c r="I552" s="26">
        <f t="shared" ca="1" si="71"/>
        <v>17.420833749925805</v>
      </c>
    </row>
    <row r="553" spans="1:9" x14ac:dyDescent="0.2">
      <c r="A553">
        <v>550</v>
      </c>
      <c r="B553" s="30">
        <f t="shared" ca="1" si="64"/>
        <v>0.67886087276208029</v>
      </c>
      <c r="C553" t="b">
        <f t="shared" ca="1" si="65"/>
        <v>0</v>
      </c>
      <c r="D553">
        <f t="shared" ca="1" si="66"/>
        <v>29</v>
      </c>
      <c r="E553">
        <f t="shared" ca="1" si="67"/>
        <v>30</v>
      </c>
      <c r="F553" s="26">
        <f t="shared" ca="1" si="68"/>
        <v>4559.2536006754435</v>
      </c>
      <c r="G553" s="26">
        <f t="shared" ca="1" si="69"/>
        <v>4559.4361973133973</v>
      </c>
      <c r="H553" t="str">
        <f t="shared" ca="1" si="70"/>
        <v>Static</v>
      </c>
      <c r="I553" s="26">
        <f t="shared" ca="1" si="71"/>
        <v>-0.18259663795379311</v>
      </c>
    </row>
    <row r="554" spans="1:9" x14ac:dyDescent="0.2">
      <c r="A554">
        <v>551</v>
      </c>
      <c r="B554" s="30">
        <f t="shared" ca="1" si="64"/>
        <v>0.49398784907701332</v>
      </c>
      <c r="C554" t="b">
        <f t="shared" ca="1" si="65"/>
        <v>0</v>
      </c>
      <c r="D554">
        <f t="shared" ca="1" si="66"/>
        <v>30</v>
      </c>
      <c r="E554">
        <f t="shared" ca="1" si="67"/>
        <v>30</v>
      </c>
      <c r="F554" s="26">
        <f t="shared" ca="1" si="68"/>
        <v>4558.9961184575532</v>
      </c>
      <c r="G554" s="26">
        <f t="shared" ca="1" si="69"/>
        <v>4562.2824531324886</v>
      </c>
      <c r="H554" t="str">
        <f t="shared" ca="1" si="70"/>
        <v>Static</v>
      </c>
      <c r="I554" s="26">
        <f t="shared" ca="1" si="71"/>
        <v>-3.2863346749354605</v>
      </c>
    </row>
    <row r="555" spans="1:9" x14ac:dyDescent="0.2">
      <c r="A555">
        <v>552</v>
      </c>
      <c r="B555" s="30">
        <f t="shared" ca="1" si="64"/>
        <v>0.53293423634171289</v>
      </c>
      <c r="C555" t="b">
        <f t="shared" ca="1" si="65"/>
        <v>0</v>
      </c>
      <c r="D555">
        <f t="shared" ca="1" si="66"/>
        <v>28</v>
      </c>
      <c r="E555">
        <f t="shared" ca="1" si="67"/>
        <v>30</v>
      </c>
      <c r="F555" s="26">
        <f t="shared" ca="1" si="68"/>
        <v>4557.7944820484454</v>
      </c>
      <c r="G555" s="26">
        <f t="shared" ca="1" si="69"/>
        <v>4561.2361111474438</v>
      </c>
      <c r="H555" t="str">
        <f t="shared" ca="1" si="70"/>
        <v>Static</v>
      </c>
      <c r="I555" s="26">
        <f t="shared" ca="1" si="71"/>
        <v>-3.4416290989984191</v>
      </c>
    </row>
    <row r="556" spans="1:9" x14ac:dyDescent="0.2">
      <c r="A556">
        <v>553</v>
      </c>
      <c r="B556" s="30">
        <f t="shared" ca="1" si="64"/>
        <v>0.20256303553241606</v>
      </c>
      <c r="C556" t="b">
        <f t="shared" ca="1" si="65"/>
        <v>1</v>
      </c>
      <c r="D556">
        <f t="shared" ca="1" si="66"/>
        <v>28</v>
      </c>
      <c r="E556">
        <f t="shared" ca="1" si="67"/>
        <v>28</v>
      </c>
      <c r="F556" s="26">
        <f t="shared" ca="1" si="68"/>
        <v>4559.5879609076746</v>
      </c>
      <c r="G556" s="26">
        <f t="shared" ca="1" si="69"/>
        <v>4542.7922921440277</v>
      </c>
      <c r="H556" t="str">
        <f t="shared" ca="1" si="70"/>
        <v>Reactive</v>
      </c>
      <c r="I556" s="26">
        <f t="shared" ca="1" si="71"/>
        <v>16.795668763646972</v>
      </c>
    </row>
    <row r="557" spans="1:9" x14ac:dyDescent="0.2">
      <c r="A557">
        <v>554</v>
      </c>
      <c r="B557" s="30">
        <f t="shared" ca="1" si="64"/>
        <v>0.16643851659284281</v>
      </c>
      <c r="C557" t="b">
        <f t="shared" ca="1" si="65"/>
        <v>1</v>
      </c>
      <c r="D557">
        <f t="shared" ca="1" si="66"/>
        <v>26</v>
      </c>
      <c r="E557">
        <f t="shared" ca="1" si="67"/>
        <v>26</v>
      </c>
      <c r="F557" s="26">
        <f t="shared" ca="1" si="68"/>
        <v>4559.1519450003989</v>
      </c>
      <c r="G557" s="26">
        <f t="shared" ca="1" si="69"/>
        <v>4544.9095489590563</v>
      </c>
      <c r="H557" t="str">
        <f t="shared" ca="1" si="70"/>
        <v>Reactive</v>
      </c>
      <c r="I557" s="26">
        <f t="shared" ca="1" si="71"/>
        <v>14.242396041342545</v>
      </c>
    </row>
    <row r="558" spans="1:9" x14ac:dyDescent="0.2">
      <c r="A558">
        <v>555</v>
      </c>
      <c r="B558" s="30">
        <f t="shared" ca="1" si="64"/>
        <v>0.98097118000993844</v>
      </c>
      <c r="C558" t="b">
        <f t="shared" ca="1" si="65"/>
        <v>0</v>
      </c>
      <c r="D558">
        <f t="shared" ca="1" si="66"/>
        <v>30</v>
      </c>
      <c r="E558">
        <f t="shared" ca="1" si="67"/>
        <v>30</v>
      </c>
      <c r="F558" s="26">
        <f t="shared" ca="1" si="68"/>
        <v>4558.1362658654962</v>
      </c>
      <c r="G558" s="26">
        <f t="shared" ca="1" si="69"/>
        <v>4560.9293638033378</v>
      </c>
      <c r="H558" t="str">
        <f t="shared" ca="1" si="70"/>
        <v>Static</v>
      </c>
      <c r="I558" s="26">
        <f t="shared" ca="1" si="71"/>
        <v>-2.7930979378415941</v>
      </c>
    </row>
    <row r="559" spans="1:9" x14ac:dyDescent="0.2">
      <c r="A559">
        <v>556</v>
      </c>
      <c r="B559" s="30">
        <f t="shared" ca="1" si="64"/>
        <v>0.7637286839501537</v>
      </c>
      <c r="C559" t="b">
        <f t="shared" ca="1" si="65"/>
        <v>0</v>
      </c>
      <c r="D559">
        <f t="shared" ca="1" si="66"/>
        <v>27</v>
      </c>
      <c r="E559">
        <f t="shared" ca="1" si="67"/>
        <v>30</v>
      </c>
      <c r="F559" s="26">
        <f t="shared" ca="1" si="68"/>
        <v>4559.8874071748323</v>
      </c>
      <c r="G559" s="26">
        <f t="shared" ca="1" si="69"/>
        <v>4559.6619911858261</v>
      </c>
      <c r="H559" t="str">
        <f t="shared" ca="1" si="70"/>
        <v>Reactive</v>
      </c>
      <c r="I559" s="26">
        <f t="shared" ca="1" si="71"/>
        <v>0.22541598900625104</v>
      </c>
    </row>
    <row r="560" spans="1:9" x14ac:dyDescent="0.2">
      <c r="A560">
        <v>557</v>
      </c>
      <c r="B560" s="30">
        <f t="shared" ca="1" si="64"/>
        <v>0.90083507232228377</v>
      </c>
      <c r="C560" t="b">
        <f t="shared" ca="1" si="65"/>
        <v>0</v>
      </c>
      <c r="D560">
        <f t="shared" ca="1" si="66"/>
        <v>28</v>
      </c>
      <c r="E560">
        <f t="shared" ca="1" si="67"/>
        <v>30</v>
      </c>
      <c r="F560" s="26">
        <f t="shared" ca="1" si="68"/>
        <v>4560.0903483794164</v>
      </c>
      <c r="G560" s="26">
        <f t="shared" ca="1" si="69"/>
        <v>4561.4043370416584</v>
      </c>
      <c r="H560" t="str">
        <f t="shared" ca="1" si="70"/>
        <v>Static</v>
      </c>
      <c r="I560" s="26">
        <f t="shared" ca="1" si="71"/>
        <v>-1.3139886622420818</v>
      </c>
    </row>
    <row r="561" spans="1:9" x14ac:dyDescent="0.2">
      <c r="A561">
        <v>558</v>
      </c>
      <c r="B561" s="30">
        <f t="shared" ca="1" si="64"/>
        <v>0.59147926484937274</v>
      </c>
      <c r="C561" t="b">
        <f t="shared" ca="1" si="65"/>
        <v>0</v>
      </c>
      <c r="D561">
        <f t="shared" ca="1" si="66"/>
        <v>27</v>
      </c>
      <c r="E561">
        <f t="shared" ca="1" si="67"/>
        <v>30</v>
      </c>
      <c r="F561" s="26">
        <f t="shared" ca="1" si="68"/>
        <v>4560.3689799737358</v>
      </c>
      <c r="G561" s="26">
        <f t="shared" ca="1" si="69"/>
        <v>4560.5032620206739</v>
      </c>
      <c r="H561" t="str">
        <f t="shared" ca="1" si="70"/>
        <v>Static</v>
      </c>
      <c r="I561" s="26">
        <f t="shared" ca="1" si="71"/>
        <v>-0.13428204693809676</v>
      </c>
    </row>
    <row r="562" spans="1:9" x14ac:dyDescent="0.2">
      <c r="A562">
        <v>559</v>
      </c>
      <c r="B562" s="30">
        <f t="shared" ca="1" si="64"/>
        <v>5.5469446830186731E-2</v>
      </c>
      <c r="C562" t="b">
        <f t="shared" ca="1" si="65"/>
        <v>1</v>
      </c>
      <c r="D562">
        <f t="shared" ca="1" si="66"/>
        <v>29</v>
      </c>
      <c r="E562">
        <f t="shared" ca="1" si="67"/>
        <v>29</v>
      </c>
      <c r="F562" s="26">
        <f t="shared" ca="1" si="68"/>
        <v>4559.311161962627</v>
      </c>
      <c r="G562" s="26">
        <f t="shared" ca="1" si="69"/>
        <v>4543.1178686909479</v>
      </c>
      <c r="H562" t="str">
        <f t="shared" ca="1" si="70"/>
        <v>Reactive</v>
      </c>
      <c r="I562" s="26">
        <f t="shared" ca="1" si="71"/>
        <v>16.193293271679067</v>
      </c>
    </row>
    <row r="563" spans="1:9" x14ac:dyDescent="0.2">
      <c r="A563">
        <v>560</v>
      </c>
      <c r="B563" s="30">
        <f t="shared" ca="1" si="64"/>
        <v>0.32102680707091524</v>
      </c>
      <c r="C563" t="b">
        <f t="shared" ca="1" si="65"/>
        <v>1</v>
      </c>
      <c r="D563">
        <f t="shared" ca="1" si="66"/>
        <v>27</v>
      </c>
      <c r="E563">
        <f t="shared" ca="1" si="67"/>
        <v>27</v>
      </c>
      <c r="F563" s="26">
        <f t="shared" ca="1" si="68"/>
        <v>4559.2561556696965</v>
      </c>
      <c r="G563" s="26">
        <f t="shared" ca="1" si="69"/>
        <v>4541.3267055907108</v>
      </c>
      <c r="H563" t="str">
        <f t="shared" ca="1" si="70"/>
        <v>Reactive</v>
      </c>
      <c r="I563" s="26">
        <f t="shared" ca="1" si="71"/>
        <v>17.92945007898561</v>
      </c>
    </row>
    <row r="564" spans="1:9" x14ac:dyDescent="0.2">
      <c r="A564">
        <v>561</v>
      </c>
      <c r="B564" s="30">
        <f t="shared" ca="1" si="64"/>
        <v>0.52741599082880486</v>
      </c>
      <c r="C564" t="b">
        <f t="shared" ca="1" si="65"/>
        <v>0</v>
      </c>
      <c r="D564">
        <f t="shared" ca="1" si="66"/>
        <v>29</v>
      </c>
      <c r="E564">
        <f t="shared" ca="1" si="67"/>
        <v>30</v>
      </c>
      <c r="F564" s="26">
        <f t="shared" ca="1" si="68"/>
        <v>4559.6972339877493</v>
      </c>
      <c r="G564" s="26">
        <f t="shared" ca="1" si="69"/>
        <v>4559.7876477206382</v>
      </c>
      <c r="H564" t="str">
        <f t="shared" ca="1" si="70"/>
        <v>Static</v>
      </c>
      <c r="I564" s="26">
        <f t="shared" ca="1" si="71"/>
        <v>-9.0413732888919185E-2</v>
      </c>
    </row>
    <row r="565" spans="1:9" x14ac:dyDescent="0.2">
      <c r="A565">
        <v>562</v>
      </c>
      <c r="B565" s="30">
        <f t="shared" ca="1" si="64"/>
        <v>0.31092584730566553</v>
      </c>
      <c r="C565" t="b">
        <f t="shared" ca="1" si="65"/>
        <v>1</v>
      </c>
      <c r="D565">
        <f t="shared" ca="1" si="66"/>
        <v>27</v>
      </c>
      <c r="E565">
        <f t="shared" ca="1" si="67"/>
        <v>27</v>
      </c>
      <c r="F565" s="26">
        <f t="shared" ca="1" si="68"/>
        <v>4558.2206118370405</v>
      </c>
      <c r="G565" s="26">
        <f t="shared" ca="1" si="69"/>
        <v>4541.9765682071238</v>
      </c>
      <c r="H565" t="str">
        <f t="shared" ca="1" si="70"/>
        <v>Reactive</v>
      </c>
      <c r="I565" s="26">
        <f t="shared" ca="1" si="71"/>
        <v>16.244043629916632</v>
      </c>
    </row>
    <row r="566" spans="1:9" x14ac:dyDescent="0.2">
      <c r="A566">
        <v>563</v>
      </c>
      <c r="B566" s="30">
        <f t="shared" ca="1" si="64"/>
        <v>0.90961768631741469</v>
      </c>
      <c r="C566" t="b">
        <f t="shared" ca="1" si="65"/>
        <v>0</v>
      </c>
      <c r="D566">
        <f t="shared" ca="1" si="66"/>
        <v>26</v>
      </c>
      <c r="E566">
        <f t="shared" ca="1" si="67"/>
        <v>30</v>
      </c>
      <c r="F566" s="26">
        <f t="shared" ca="1" si="68"/>
        <v>4558.3334575616709</v>
      </c>
      <c r="G566" s="26">
        <f t="shared" ca="1" si="69"/>
        <v>4561.7175690363147</v>
      </c>
      <c r="H566" t="str">
        <f t="shared" ca="1" si="70"/>
        <v>Static</v>
      </c>
      <c r="I566" s="26">
        <f t="shared" ca="1" si="71"/>
        <v>-3.3841114746437597</v>
      </c>
    </row>
    <row r="567" spans="1:9" x14ac:dyDescent="0.2">
      <c r="A567">
        <v>564</v>
      </c>
      <c r="B567" s="30">
        <f t="shared" ca="1" si="64"/>
        <v>0.91437104185963702</v>
      </c>
      <c r="C567" t="b">
        <f t="shared" ca="1" si="65"/>
        <v>0</v>
      </c>
      <c r="D567">
        <f t="shared" ca="1" si="66"/>
        <v>27</v>
      </c>
      <c r="E567">
        <f t="shared" ca="1" si="67"/>
        <v>30</v>
      </c>
      <c r="F567" s="26">
        <f t="shared" ca="1" si="68"/>
        <v>4559.4081198343874</v>
      </c>
      <c r="G567" s="26">
        <f t="shared" ca="1" si="69"/>
        <v>4560.9170169447025</v>
      </c>
      <c r="H567" t="str">
        <f t="shared" ca="1" si="70"/>
        <v>Static</v>
      </c>
      <c r="I567" s="26">
        <f t="shared" ca="1" si="71"/>
        <v>-1.508897110315047</v>
      </c>
    </row>
    <row r="568" spans="1:9" x14ac:dyDescent="0.2">
      <c r="A568">
        <v>565</v>
      </c>
      <c r="B568" s="30">
        <f t="shared" ca="1" si="64"/>
        <v>2.0143577931890366E-3</v>
      </c>
      <c r="C568" t="b">
        <f t="shared" ca="1" si="65"/>
        <v>1</v>
      </c>
      <c r="D568">
        <f t="shared" ca="1" si="66"/>
        <v>26</v>
      </c>
      <c r="E568">
        <f t="shared" ca="1" si="67"/>
        <v>26</v>
      </c>
      <c r="F568" s="26">
        <f t="shared" ca="1" si="68"/>
        <v>4559.5035870679276</v>
      </c>
      <c r="G568" s="26">
        <f t="shared" ca="1" si="69"/>
        <v>4541.573540333352</v>
      </c>
      <c r="H568" t="str">
        <f t="shared" ca="1" si="70"/>
        <v>Reactive</v>
      </c>
      <c r="I568" s="26">
        <f t="shared" ca="1" si="71"/>
        <v>17.930046734575626</v>
      </c>
    </row>
    <row r="569" spans="1:9" x14ac:dyDescent="0.2">
      <c r="A569">
        <v>566</v>
      </c>
      <c r="B569" s="30">
        <f t="shared" ca="1" si="64"/>
        <v>0.25420181059251101</v>
      </c>
      <c r="C569" t="b">
        <f t="shared" ca="1" si="65"/>
        <v>1</v>
      </c>
      <c r="D569">
        <f t="shared" ca="1" si="66"/>
        <v>30</v>
      </c>
      <c r="E569">
        <f t="shared" ca="1" si="67"/>
        <v>30</v>
      </c>
      <c r="F569" s="26">
        <f t="shared" ca="1" si="68"/>
        <v>4558.7778473584785</v>
      </c>
      <c r="G569" s="26">
        <f t="shared" ca="1" si="69"/>
        <v>4544.1224797395653</v>
      </c>
      <c r="H569" t="str">
        <f t="shared" ca="1" si="70"/>
        <v>Reactive</v>
      </c>
      <c r="I569" s="26">
        <f t="shared" ca="1" si="71"/>
        <v>14.65536761891326</v>
      </c>
    </row>
    <row r="570" spans="1:9" x14ac:dyDescent="0.2">
      <c r="A570">
        <v>567</v>
      </c>
      <c r="B570" s="30">
        <f t="shared" ca="1" si="64"/>
        <v>0.74341078851838449</v>
      </c>
      <c r="C570" t="b">
        <f t="shared" ca="1" si="65"/>
        <v>0</v>
      </c>
      <c r="D570">
        <f t="shared" ca="1" si="66"/>
        <v>30</v>
      </c>
      <c r="E570">
        <f t="shared" ca="1" si="67"/>
        <v>30</v>
      </c>
      <c r="F570" s="26">
        <f t="shared" ca="1" si="68"/>
        <v>4559.940683942732</v>
      </c>
      <c r="G570" s="26">
        <f t="shared" ca="1" si="69"/>
        <v>4560.2333369234993</v>
      </c>
      <c r="H570" t="str">
        <f t="shared" ca="1" si="70"/>
        <v>Static</v>
      </c>
      <c r="I570" s="26">
        <f t="shared" ca="1" si="71"/>
        <v>-0.29265298076734325</v>
      </c>
    </row>
    <row r="571" spans="1:9" x14ac:dyDescent="0.2">
      <c r="A571">
        <v>568</v>
      </c>
      <c r="B571" s="30">
        <f t="shared" ca="1" si="64"/>
        <v>0.31287691813836715</v>
      </c>
      <c r="C571" t="b">
        <f t="shared" ca="1" si="65"/>
        <v>1</v>
      </c>
      <c r="D571">
        <f t="shared" ca="1" si="66"/>
        <v>29</v>
      </c>
      <c r="E571">
        <f t="shared" ca="1" si="67"/>
        <v>29</v>
      </c>
      <c r="F571" s="26">
        <f t="shared" ca="1" si="68"/>
        <v>4559.4412137782392</v>
      </c>
      <c r="G571" s="26">
        <f t="shared" ca="1" si="69"/>
        <v>4542.7697187164476</v>
      </c>
      <c r="H571" t="str">
        <f t="shared" ca="1" si="70"/>
        <v>Reactive</v>
      </c>
      <c r="I571" s="26">
        <f t="shared" ca="1" si="71"/>
        <v>16.671495061791575</v>
      </c>
    </row>
    <row r="572" spans="1:9" x14ac:dyDescent="0.2">
      <c r="A572">
        <v>569</v>
      </c>
      <c r="B572" s="30">
        <f t="shared" ca="1" si="64"/>
        <v>0.66391681927750734</v>
      </c>
      <c r="C572" t="b">
        <f t="shared" ca="1" si="65"/>
        <v>0</v>
      </c>
      <c r="D572">
        <f t="shared" ca="1" si="66"/>
        <v>27</v>
      </c>
      <c r="E572">
        <f t="shared" ca="1" si="67"/>
        <v>30</v>
      </c>
      <c r="F572" s="26">
        <f t="shared" ca="1" si="68"/>
        <v>4559.8811018123915</v>
      </c>
      <c r="G572" s="26">
        <f t="shared" ca="1" si="69"/>
        <v>4562.6396014576267</v>
      </c>
      <c r="H572" t="str">
        <f t="shared" ca="1" si="70"/>
        <v>Static</v>
      </c>
      <c r="I572" s="26">
        <f t="shared" ca="1" si="71"/>
        <v>-2.7584996452351334</v>
      </c>
    </row>
    <row r="573" spans="1:9" x14ac:dyDescent="0.2">
      <c r="A573">
        <v>570</v>
      </c>
      <c r="B573" s="30">
        <f t="shared" ca="1" si="64"/>
        <v>2.8475639288424448E-3</v>
      </c>
      <c r="C573" t="b">
        <f t="shared" ca="1" si="65"/>
        <v>1</v>
      </c>
      <c r="D573">
        <f t="shared" ca="1" si="66"/>
        <v>29</v>
      </c>
      <c r="E573">
        <f t="shared" ca="1" si="67"/>
        <v>29</v>
      </c>
      <c r="F573" s="26">
        <f t="shared" ca="1" si="68"/>
        <v>4560.4899563155832</v>
      </c>
      <c r="G573" s="26">
        <f t="shared" ca="1" si="69"/>
        <v>4541.8357536040658</v>
      </c>
      <c r="H573" t="str">
        <f t="shared" ca="1" si="70"/>
        <v>Reactive</v>
      </c>
      <c r="I573" s="26">
        <f t="shared" ca="1" si="71"/>
        <v>18.654202711517428</v>
      </c>
    </row>
    <row r="574" spans="1:9" x14ac:dyDescent="0.2">
      <c r="A574">
        <v>571</v>
      </c>
      <c r="B574" s="30">
        <f t="shared" ca="1" si="64"/>
        <v>1.7356988080206248E-2</v>
      </c>
      <c r="C574" t="b">
        <f t="shared" ca="1" si="65"/>
        <v>1</v>
      </c>
      <c r="D574">
        <f t="shared" ca="1" si="66"/>
        <v>26</v>
      </c>
      <c r="E574">
        <f t="shared" ca="1" si="67"/>
        <v>26</v>
      </c>
      <c r="F574" s="26">
        <f t="shared" ca="1" si="68"/>
        <v>4558.815221641149</v>
      </c>
      <c r="G574" s="26">
        <f t="shared" ca="1" si="69"/>
        <v>4541.7640482366951</v>
      </c>
      <c r="H574" t="str">
        <f t="shared" ca="1" si="70"/>
        <v>Reactive</v>
      </c>
      <c r="I574" s="26">
        <f t="shared" ca="1" si="71"/>
        <v>17.051173404453948</v>
      </c>
    </row>
    <row r="575" spans="1:9" x14ac:dyDescent="0.2">
      <c r="A575">
        <v>572</v>
      </c>
      <c r="B575" s="30">
        <f t="shared" ca="1" si="64"/>
        <v>0.23099121978037929</v>
      </c>
      <c r="C575" t="b">
        <f t="shared" ca="1" si="65"/>
        <v>1</v>
      </c>
      <c r="D575">
        <f t="shared" ca="1" si="66"/>
        <v>30</v>
      </c>
      <c r="E575">
        <f t="shared" ca="1" si="67"/>
        <v>30</v>
      </c>
      <c r="F575" s="26">
        <f t="shared" ca="1" si="68"/>
        <v>4558.6129417507027</v>
      </c>
      <c r="G575" s="26">
        <f t="shared" ca="1" si="69"/>
        <v>4545.1746597717283</v>
      </c>
      <c r="H575" t="str">
        <f t="shared" ca="1" si="70"/>
        <v>Reactive</v>
      </c>
      <c r="I575" s="26">
        <f t="shared" ca="1" si="71"/>
        <v>13.438281978974373</v>
      </c>
    </row>
    <row r="576" spans="1:9" x14ac:dyDescent="0.2">
      <c r="A576">
        <v>573</v>
      </c>
      <c r="B576" s="30">
        <f t="shared" ca="1" si="64"/>
        <v>0.24831294312550756</v>
      </c>
      <c r="C576" t="b">
        <f t="shared" ca="1" si="65"/>
        <v>1</v>
      </c>
      <c r="D576">
        <f t="shared" ca="1" si="66"/>
        <v>28</v>
      </c>
      <c r="E576">
        <f t="shared" ca="1" si="67"/>
        <v>28</v>
      </c>
      <c r="F576" s="26">
        <f t="shared" ca="1" si="68"/>
        <v>4559.2925659170669</v>
      </c>
      <c r="G576" s="26">
        <f t="shared" ca="1" si="69"/>
        <v>4540.2932023401218</v>
      </c>
      <c r="H576" t="str">
        <f t="shared" ca="1" si="70"/>
        <v>Reactive</v>
      </c>
      <c r="I576" s="26">
        <f t="shared" ca="1" si="71"/>
        <v>18.999363576945143</v>
      </c>
    </row>
    <row r="577" spans="1:9" x14ac:dyDescent="0.2">
      <c r="A577">
        <v>574</v>
      </c>
      <c r="B577" s="30">
        <f t="shared" ca="1" si="64"/>
        <v>0.11355193397395469</v>
      </c>
      <c r="C577" t="b">
        <f t="shared" ca="1" si="65"/>
        <v>1</v>
      </c>
      <c r="D577">
        <f t="shared" ca="1" si="66"/>
        <v>29</v>
      </c>
      <c r="E577">
        <f t="shared" ca="1" si="67"/>
        <v>29</v>
      </c>
      <c r="F577" s="26">
        <f t="shared" ca="1" si="68"/>
        <v>4558.5968694490302</v>
      </c>
      <c r="G577" s="26">
        <f t="shared" ca="1" si="69"/>
        <v>4543.1542066831962</v>
      </c>
      <c r="H577" t="str">
        <f t="shared" ca="1" si="70"/>
        <v>Reactive</v>
      </c>
      <c r="I577" s="26">
        <f t="shared" ca="1" si="71"/>
        <v>15.442662765834029</v>
      </c>
    </row>
    <row r="578" spans="1:9" x14ac:dyDescent="0.2">
      <c r="A578">
        <v>575</v>
      </c>
      <c r="B578" s="30">
        <f t="shared" ca="1" si="64"/>
        <v>0.35868747804697876</v>
      </c>
      <c r="C578" t="b">
        <f t="shared" ca="1" si="65"/>
        <v>0</v>
      </c>
      <c r="D578">
        <f t="shared" ca="1" si="66"/>
        <v>28</v>
      </c>
      <c r="E578">
        <f t="shared" ca="1" si="67"/>
        <v>30</v>
      </c>
      <c r="F578" s="26">
        <f t="shared" ca="1" si="68"/>
        <v>4559.9798758338629</v>
      </c>
      <c r="G578" s="26">
        <f t="shared" ca="1" si="69"/>
        <v>4559.7748817281417</v>
      </c>
      <c r="H578" t="str">
        <f t="shared" ca="1" si="70"/>
        <v>Reactive</v>
      </c>
      <c r="I578" s="26">
        <f t="shared" ca="1" si="71"/>
        <v>0.20499410572119814</v>
      </c>
    </row>
    <row r="579" spans="1:9" x14ac:dyDescent="0.2">
      <c r="A579">
        <v>576</v>
      </c>
      <c r="B579" s="30">
        <f t="shared" ca="1" si="64"/>
        <v>0.45950581898321197</v>
      </c>
      <c r="C579" t="b">
        <f t="shared" ca="1" si="65"/>
        <v>0</v>
      </c>
      <c r="D579">
        <f t="shared" ca="1" si="66"/>
        <v>26</v>
      </c>
      <c r="E579">
        <f t="shared" ca="1" si="67"/>
        <v>30</v>
      </c>
      <c r="F579" s="26">
        <f t="shared" ca="1" si="68"/>
        <v>4558.3163989828818</v>
      </c>
      <c r="G579" s="26">
        <f t="shared" ca="1" si="69"/>
        <v>4560.1954041410172</v>
      </c>
      <c r="H579" t="str">
        <f t="shared" ca="1" si="70"/>
        <v>Static</v>
      </c>
      <c r="I579" s="26">
        <f t="shared" ca="1" si="71"/>
        <v>-1.8790051581354419</v>
      </c>
    </row>
    <row r="580" spans="1:9" x14ac:dyDescent="0.2">
      <c r="A580">
        <v>577</v>
      </c>
      <c r="B580" s="30">
        <f t="shared" ref="B580:B643" ca="1" si="72">RAND()</f>
        <v>0.77278342506426634</v>
      </c>
      <c r="C580" t="b">
        <f t="shared" ref="C580:C643" ca="1" si="73">B580&lt;ProbSC</f>
        <v>0</v>
      </c>
      <c r="D580">
        <f t="shared" ref="D580:D643" ca="1" si="74">ReactMin+INT(RAND()*(ReactMax-ReactMin+1))</f>
        <v>27</v>
      </c>
      <c r="E580">
        <f t="shared" ref="E580:E643" ca="1" si="75">IF(C580,D580,MustLap)</f>
        <v>30</v>
      </c>
      <c r="F580" s="26">
        <f t="shared" ref="F580:F643" ca="1" si="76">BaseLap*Laps+Deg*(PlanLap*(PlanLap-1)/2+(Laps-PlanLap)*(Laps-PlanLap-1)/2)+PitGreen+NORMINV(RAND(),0,NoiseSD)</f>
        <v>4558.0680742044897</v>
      </c>
      <c r="G580" s="26">
        <f t="shared" ref="G580:G643" ca="1" si="77">BaseLap*Laps+Deg*(E580*(E580-1)/2+(Laps-E580)*(Laps-E580-1)/2)+IF(C580,PitSC,PitGreen)+NORMINV(RAND(),0,NoiseSD)</f>
        <v>4561.501406803226</v>
      </c>
      <c r="H580" t="str">
        <f t="shared" ref="H580:H643" ca="1" si="78">IF(F580&lt;G580,"Static","Reactive")</f>
        <v>Static</v>
      </c>
      <c r="I580" s="26">
        <f t="shared" ref="I580:I643" ca="1" si="79">F580-G580</f>
        <v>-3.4333325987363423</v>
      </c>
    </row>
    <row r="581" spans="1:9" x14ac:dyDescent="0.2">
      <c r="A581">
        <v>578</v>
      </c>
      <c r="B581" s="30">
        <f t="shared" ca="1" si="72"/>
        <v>0.84869735407638724</v>
      </c>
      <c r="C581" t="b">
        <f t="shared" ca="1" si="73"/>
        <v>0</v>
      </c>
      <c r="D581">
        <f t="shared" ca="1" si="74"/>
        <v>26</v>
      </c>
      <c r="E581">
        <f t="shared" ca="1" si="75"/>
        <v>30</v>
      </c>
      <c r="F581" s="26">
        <f t="shared" ca="1" si="76"/>
        <v>4558.7737339185915</v>
      </c>
      <c r="G581" s="26">
        <f t="shared" ca="1" si="77"/>
        <v>4560.0121975068105</v>
      </c>
      <c r="H581" t="str">
        <f t="shared" ca="1" si="78"/>
        <v>Static</v>
      </c>
      <c r="I581" s="26">
        <f t="shared" ca="1" si="79"/>
        <v>-1.2384635882190196</v>
      </c>
    </row>
    <row r="582" spans="1:9" x14ac:dyDescent="0.2">
      <c r="A582">
        <v>579</v>
      </c>
      <c r="B582" s="30">
        <f t="shared" ca="1" si="72"/>
        <v>7.673948421997745E-2</v>
      </c>
      <c r="C582" t="b">
        <f t="shared" ca="1" si="73"/>
        <v>1</v>
      </c>
      <c r="D582">
        <f t="shared" ca="1" si="74"/>
        <v>28</v>
      </c>
      <c r="E582">
        <f t="shared" ca="1" si="75"/>
        <v>28</v>
      </c>
      <c r="F582" s="26">
        <f t="shared" ca="1" si="76"/>
        <v>4560.6802843551068</v>
      </c>
      <c r="G582" s="26">
        <f t="shared" ca="1" si="77"/>
        <v>4542.8367077963348</v>
      </c>
      <c r="H582" t="str">
        <f t="shared" ca="1" si="78"/>
        <v>Reactive</v>
      </c>
      <c r="I582" s="26">
        <f t="shared" ca="1" si="79"/>
        <v>17.843576558771929</v>
      </c>
    </row>
    <row r="583" spans="1:9" x14ac:dyDescent="0.2">
      <c r="A583">
        <v>580</v>
      </c>
      <c r="B583" s="30">
        <f t="shared" ca="1" si="72"/>
        <v>0.911327871644381</v>
      </c>
      <c r="C583" t="b">
        <f t="shared" ca="1" si="73"/>
        <v>0</v>
      </c>
      <c r="D583">
        <f t="shared" ca="1" si="74"/>
        <v>27</v>
      </c>
      <c r="E583">
        <f t="shared" ca="1" si="75"/>
        <v>30</v>
      </c>
      <c r="F583" s="26">
        <f t="shared" ca="1" si="76"/>
        <v>4558.8192254592623</v>
      </c>
      <c r="G583" s="26">
        <f t="shared" ca="1" si="77"/>
        <v>4560.6106534215851</v>
      </c>
      <c r="H583" t="str">
        <f t="shared" ca="1" si="78"/>
        <v>Static</v>
      </c>
      <c r="I583" s="26">
        <f t="shared" ca="1" si="79"/>
        <v>-1.791427962322814</v>
      </c>
    </row>
    <row r="584" spans="1:9" x14ac:dyDescent="0.2">
      <c r="A584">
        <v>581</v>
      </c>
      <c r="B584" s="30">
        <f t="shared" ca="1" si="72"/>
        <v>0.90258142249020989</v>
      </c>
      <c r="C584" t="b">
        <f t="shared" ca="1" si="73"/>
        <v>0</v>
      </c>
      <c r="D584">
        <f t="shared" ca="1" si="74"/>
        <v>26</v>
      </c>
      <c r="E584">
        <f t="shared" ca="1" si="75"/>
        <v>30</v>
      </c>
      <c r="F584" s="26">
        <f t="shared" ca="1" si="76"/>
        <v>4559.3482110913683</v>
      </c>
      <c r="G584" s="26">
        <f t="shared" ca="1" si="77"/>
        <v>4560.3338777146537</v>
      </c>
      <c r="H584" t="str">
        <f t="shared" ca="1" si="78"/>
        <v>Static</v>
      </c>
      <c r="I584" s="26">
        <f t="shared" ca="1" si="79"/>
        <v>-0.98566662328539678</v>
      </c>
    </row>
    <row r="585" spans="1:9" x14ac:dyDescent="0.2">
      <c r="A585">
        <v>582</v>
      </c>
      <c r="B585" s="30">
        <f t="shared" ca="1" si="72"/>
        <v>0.47157209778089026</v>
      </c>
      <c r="C585" t="b">
        <f t="shared" ca="1" si="73"/>
        <v>0</v>
      </c>
      <c r="D585">
        <f t="shared" ca="1" si="74"/>
        <v>26</v>
      </c>
      <c r="E585">
        <f t="shared" ca="1" si="75"/>
        <v>30</v>
      </c>
      <c r="F585" s="26">
        <f t="shared" ca="1" si="76"/>
        <v>4557.8605619032542</v>
      </c>
      <c r="G585" s="26">
        <f t="shared" ca="1" si="77"/>
        <v>4559.4739902942529</v>
      </c>
      <c r="H585" t="str">
        <f t="shared" ca="1" si="78"/>
        <v>Static</v>
      </c>
      <c r="I585" s="26">
        <f t="shared" ca="1" si="79"/>
        <v>-1.6134283909987062</v>
      </c>
    </row>
    <row r="586" spans="1:9" x14ac:dyDescent="0.2">
      <c r="A586">
        <v>583</v>
      </c>
      <c r="B586" s="30">
        <f t="shared" ca="1" si="72"/>
        <v>0.4703756496836482</v>
      </c>
      <c r="C586" t="b">
        <f t="shared" ca="1" si="73"/>
        <v>0</v>
      </c>
      <c r="D586">
        <f t="shared" ca="1" si="74"/>
        <v>28</v>
      </c>
      <c r="E586">
        <f t="shared" ca="1" si="75"/>
        <v>30</v>
      </c>
      <c r="F586" s="26">
        <f t="shared" ca="1" si="76"/>
        <v>4558.8811457510292</v>
      </c>
      <c r="G586" s="26">
        <f t="shared" ca="1" si="77"/>
        <v>4560.158645507835</v>
      </c>
      <c r="H586" t="str">
        <f t="shared" ca="1" si="78"/>
        <v>Static</v>
      </c>
      <c r="I586" s="26">
        <f t="shared" ca="1" si="79"/>
        <v>-1.2774997568058097</v>
      </c>
    </row>
    <row r="587" spans="1:9" x14ac:dyDescent="0.2">
      <c r="A587">
        <v>584</v>
      </c>
      <c r="B587" s="30">
        <f t="shared" ca="1" si="72"/>
        <v>0.84740691247267941</v>
      </c>
      <c r="C587" t="b">
        <f t="shared" ca="1" si="73"/>
        <v>0</v>
      </c>
      <c r="D587">
        <f t="shared" ca="1" si="74"/>
        <v>28</v>
      </c>
      <c r="E587">
        <f t="shared" ca="1" si="75"/>
        <v>30</v>
      </c>
      <c r="F587" s="26">
        <f t="shared" ca="1" si="76"/>
        <v>4559.5491381427928</v>
      </c>
      <c r="G587" s="26">
        <f t="shared" ca="1" si="77"/>
        <v>4560.083968360349</v>
      </c>
      <c r="H587" t="str">
        <f t="shared" ca="1" si="78"/>
        <v>Static</v>
      </c>
      <c r="I587" s="26">
        <f t="shared" ca="1" si="79"/>
        <v>-0.5348302175561912</v>
      </c>
    </row>
    <row r="588" spans="1:9" x14ac:dyDescent="0.2">
      <c r="A588">
        <v>585</v>
      </c>
      <c r="B588" s="30">
        <f t="shared" ca="1" si="72"/>
        <v>0.90280393664059555</v>
      </c>
      <c r="C588" t="b">
        <f t="shared" ca="1" si="73"/>
        <v>0</v>
      </c>
      <c r="D588">
        <f t="shared" ca="1" si="74"/>
        <v>28</v>
      </c>
      <c r="E588">
        <f t="shared" ca="1" si="75"/>
        <v>30</v>
      </c>
      <c r="F588" s="26">
        <f t="shared" ca="1" si="76"/>
        <v>4559.3445353958396</v>
      </c>
      <c r="G588" s="26">
        <f t="shared" ca="1" si="77"/>
        <v>4558.8120864714965</v>
      </c>
      <c r="H588" t="str">
        <f t="shared" ca="1" si="78"/>
        <v>Reactive</v>
      </c>
      <c r="I588" s="26">
        <f t="shared" ca="1" si="79"/>
        <v>0.53244892434304347</v>
      </c>
    </row>
    <row r="589" spans="1:9" x14ac:dyDescent="0.2">
      <c r="A589">
        <v>586</v>
      </c>
      <c r="B589" s="30">
        <f t="shared" ca="1" si="72"/>
        <v>0.26099624419593537</v>
      </c>
      <c r="C589" t="b">
        <f t="shared" ca="1" si="73"/>
        <v>1</v>
      </c>
      <c r="D589">
        <f t="shared" ca="1" si="74"/>
        <v>30</v>
      </c>
      <c r="E589">
        <f t="shared" ca="1" si="75"/>
        <v>30</v>
      </c>
      <c r="F589" s="26">
        <f t="shared" ca="1" si="76"/>
        <v>4559.0675017138637</v>
      </c>
      <c r="G589" s="26">
        <f t="shared" ca="1" si="77"/>
        <v>4542.0955079203313</v>
      </c>
      <c r="H589" t="str">
        <f t="shared" ca="1" si="78"/>
        <v>Reactive</v>
      </c>
      <c r="I589" s="26">
        <f t="shared" ca="1" si="79"/>
        <v>16.97199379353242</v>
      </c>
    </row>
    <row r="590" spans="1:9" x14ac:dyDescent="0.2">
      <c r="A590">
        <v>587</v>
      </c>
      <c r="B590" s="30">
        <f t="shared" ca="1" si="72"/>
        <v>0.2990504348949754</v>
      </c>
      <c r="C590" t="b">
        <f t="shared" ca="1" si="73"/>
        <v>1</v>
      </c>
      <c r="D590">
        <f t="shared" ca="1" si="74"/>
        <v>26</v>
      </c>
      <c r="E590">
        <f t="shared" ca="1" si="75"/>
        <v>26</v>
      </c>
      <c r="F590" s="26">
        <f t="shared" ca="1" si="76"/>
        <v>4558.7839679604913</v>
      </c>
      <c r="G590" s="26">
        <f t="shared" ca="1" si="77"/>
        <v>4542.2626993558451</v>
      </c>
      <c r="H590" t="str">
        <f t="shared" ca="1" si="78"/>
        <v>Reactive</v>
      </c>
      <c r="I590" s="26">
        <f t="shared" ca="1" si="79"/>
        <v>16.521268604646139</v>
      </c>
    </row>
    <row r="591" spans="1:9" x14ac:dyDescent="0.2">
      <c r="A591">
        <v>588</v>
      </c>
      <c r="B591" s="30">
        <f t="shared" ca="1" si="72"/>
        <v>0.69627752359912165</v>
      </c>
      <c r="C591" t="b">
        <f t="shared" ca="1" si="73"/>
        <v>0</v>
      </c>
      <c r="D591">
        <f t="shared" ca="1" si="74"/>
        <v>27</v>
      </c>
      <c r="E591">
        <f t="shared" ca="1" si="75"/>
        <v>30</v>
      </c>
      <c r="F591" s="26">
        <f t="shared" ca="1" si="76"/>
        <v>4559.2656104959106</v>
      </c>
      <c r="G591" s="26">
        <f t="shared" ca="1" si="77"/>
        <v>4561.8933251755461</v>
      </c>
      <c r="H591" t="str">
        <f t="shared" ca="1" si="78"/>
        <v>Static</v>
      </c>
      <c r="I591" s="26">
        <f t="shared" ca="1" si="79"/>
        <v>-2.6277146796355737</v>
      </c>
    </row>
    <row r="592" spans="1:9" x14ac:dyDescent="0.2">
      <c r="A592">
        <v>589</v>
      </c>
      <c r="B592" s="30">
        <f t="shared" ca="1" si="72"/>
        <v>0.78228189512876234</v>
      </c>
      <c r="C592" t="b">
        <f t="shared" ca="1" si="73"/>
        <v>0</v>
      </c>
      <c r="D592">
        <f t="shared" ca="1" si="74"/>
        <v>26</v>
      </c>
      <c r="E592">
        <f t="shared" ca="1" si="75"/>
        <v>30</v>
      </c>
      <c r="F592" s="26">
        <f t="shared" ca="1" si="76"/>
        <v>4558.3536268772177</v>
      </c>
      <c r="G592" s="26">
        <f t="shared" ca="1" si="77"/>
        <v>4562.211207127074</v>
      </c>
      <c r="H592" t="str">
        <f t="shared" ca="1" si="78"/>
        <v>Static</v>
      </c>
      <c r="I592" s="26">
        <f t="shared" ca="1" si="79"/>
        <v>-3.8575802498562553</v>
      </c>
    </row>
    <row r="593" spans="1:9" x14ac:dyDescent="0.2">
      <c r="A593">
        <v>590</v>
      </c>
      <c r="B593" s="30">
        <f t="shared" ca="1" si="72"/>
        <v>0.70347768353806295</v>
      </c>
      <c r="C593" t="b">
        <f t="shared" ca="1" si="73"/>
        <v>0</v>
      </c>
      <c r="D593">
        <f t="shared" ca="1" si="74"/>
        <v>29</v>
      </c>
      <c r="E593">
        <f t="shared" ca="1" si="75"/>
        <v>30</v>
      </c>
      <c r="F593" s="26">
        <f t="shared" ca="1" si="76"/>
        <v>4560.6939648321195</v>
      </c>
      <c r="G593" s="26">
        <f t="shared" ca="1" si="77"/>
        <v>4561.5079217855127</v>
      </c>
      <c r="H593" t="str">
        <f t="shared" ca="1" si="78"/>
        <v>Static</v>
      </c>
      <c r="I593" s="26">
        <f t="shared" ca="1" si="79"/>
        <v>-0.81395695339324448</v>
      </c>
    </row>
    <row r="594" spans="1:9" x14ac:dyDescent="0.2">
      <c r="A594">
        <v>591</v>
      </c>
      <c r="B594" s="30">
        <f t="shared" ca="1" si="72"/>
        <v>0.56090953854040759</v>
      </c>
      <c r="C594" t="b">
        <f t="shared" ca="1" si="73"/>
        <v>0</v>
      </c>
      <c r="D594">
        <f t="shared" ca="1" si="74"/>
        <v>28</v>
      </c>
      <c r="E594">
        <f t="shared" ca="1" si="75"/>
        <v>30</v>
      </c>
      <c r="F594" s="26">
        <f t="shared" ca="1" si="76"/>
        <v>4559.0086474497375</v>
      </c>
      <c r="G594" s="26">
        <f t="shared" ca="1" si="77"/>
        <v>4560.8838082113962</v>
      </c>
      <c r="H594" t="str">
        <f t="shared" ca="1" si="78"/>
        <v>Static</v>
      </c>
      <c r="I594" s="26">
        <f t="shared" ca="1" si="79"/>
        <v>-1.8751607616586625</v>
      </c>
    </row>
    <row r="595" spans="1:9" x14ac:dyDescent="0.2">
      <c r="A595">
        <v>592</v>
      </c>
      <c r="B595" s="30">
        <f t="shared" ca="1" si="72"/>
        <v>0.98867525595397598</v>
      </c>
      <c r="C595" t="b">
        <f t="shared" ca="1" si="73"/>
        <v>0</v>
      </c>
      <c r="D595">
        <f t="shared" ca="1" si="74"/>
        <v>30</v>
      </c>
      <c r="E595">
        <f t="shared" ca="1" si="75"/>
        <v>30</v>
      </c>
      <c r="F595" s="26">
        <f t="shared" ca="1" si="76"/>
        <v>4559.1255908808089</v>
      </c>
      <c r="G595" s="26">
        <f t="shared" ca="1" si="77"/>
        <v>4558.8540288149961</v>
      </c>
      <c r="H595" t="str">
        <f t="shared" ca="1" si="78"/>
        <v>Reactive</v>
      </c>
      <c r="I595" s="26">
        <f t="shared" ca="1" si="79"/>
        <v>0.2715620658127591</v>
      </c>
    </row>
    <row r="596" spans="1:9" x14ac:dyDescent="0.2">
      <c r="A596">
        <v>593</v>
      </c>
      <c r="B596" s="30">
        <f t="shared" ca="1" si="72"/>
        <v>0.14038610762776271</v>
      </c>
      <c r="C596" t="b">
        <f t="shared" ca="1" si="73"/>
        <v>1</v>
      </c>
      <c r="D596">
        <f t="shared" ca="1" si="74"/>
        <v>28</v>
      </c>
      <c r="E596">
        <f t="shared" ca="1" si="75"/>
        <v>28</v>
      </c>
      <c r="F596" s="26">
        <f t="shared" ca="1" si="76"/>
        <v>4559.8332770529178</v>
      </c>
      <c r="G596" s="26">
        <f t="shared" ca="1" si="77"/>
        <v>4542.7636829768617</v>
      </c>
      <c r="H596" t="str">
        <f t="shared" ca="1" si="78"/>
        <v>Reactive</v>
      </c>
      <c r="I596" s="26">
        <f t="shared" ca="1" si="79"/>
        <v>17.069594076056092</v>
      </c>
    </row>
    <row r="597" spans="1:9" x14ac:dyDescent="0.2">
      <c r="A597">
        <v>594</v>
      </c>
      <c r="B597" s="30">
        <f t="shared" ca="1" si="72"/>
        <v>0.50155244837206392</v>
      </c>
      <c r="C597" t="b">
        <f t="shared" ca="1" si="73"/>
        <v>0</v>
      </c>
      <c r="D597">
        <f t="shared" ca="1" si="74"/>
        <v>29</v>
      </c>
      <c r="E597">
        <f t="shared" ca="1" si="75"/>
        <v>30</v>
      </c>
      <c r="F597" s="26">
        <f t="shared" ca="1" si="76"/>
        <v>4561.4448931947691</v>
      </c>
      <c r="G597" s="26">
        <f t="shared" ca="1" si="77"/>
        <v>4560.7545788954158</v>
      </c>
      <c r="H597" t="str">
        <f t="shared" ca="1" si="78"/>
        <v>Reactive</v>
      </c>
      <c r="I597" s="26">
        <f t="shared" ca="1" si="79"/>
        <v>0.6903142993533038</v>
      </c>
    </row>
    <row r="598" spans="1:9" x14ac:dyDescent="0.2">
      <c r="A598">
        <v>595</v>
      </c>
      <c r="B598" s="30">
        <f t="shared" ca="1" si="72"/>
        <v>0.31007691033183271</v>
      </c>
      <c r="C598" t="b">
        <f t="shared" ca="1" si="73"/>
        <v>1</v>
      </c>
      <c r="D598">
        <f t="shared" ca="1" si="74"/>
        <v>26</v>
      </c>
      <c r="E598">
        <f t="shared" ca="1" si="75"/>
        <v>26</v>
      </c>
      <c r="F598" s="26">
        <f t="shared" ca="1" si="76"/>
        <v>4560.0041593977885</v>
      </c>
      <c r="G598" s="26">
        <f t="shared" ca="1" si="77"/>
        <v>4541.5833104961885</v>
      </c>
      <c r="H598" t="str">
        <f t="shared" ca="1" si="78"/>
        <v>Reactive</v>
      </c>
      <c r="I598" s="26">
        <f t="shared" ca="1" si="79"/>
        <v>18.420848901600039</v>
      </c>
    </row>
    <row r="599" spans="1:9" x14ac:dyDescent="0.2">
      <c r="A599">
        <v>596</v>
      </c>
      <c r="B599" s="30">
        <f t="shared" ca="1" si="72"/>
        <v>0.77845207182483267</v>
      </c>
      <c r="C599" t="b">
        <f t="shared" ca="1" si="73"/>
        <v>0</v>
      </c>
      <c r="D599">
        <f t="shared" ca="1" si="74"/>
        <v>26</v>
      </c>
      <c r="E599">
        <f t="shared" ca="1" si="75"/>
        <v>30</v>
      </c>
      <c r="F599" s="26">
        <f t="shared" ca="1" si="76"/>
        <v>4557.1186517104443</v>
      </c>
      <c r="G599" s="26">
        <f t="shared" ca="1" si="77"/>
        <v>4558.44173308276</v>
      </c>
      <c r="H599" t="str">
        <f t="shared" ca="1" si="78"/>
        <v>Static</v>
      </c>
      <c r="I599" s="26">
        <f t="shared" ca="1" si="79"/>
        <v>-1.3230813723157553</v>
      </c>
    </row>
    <row r="600" spans="1:9" x14ac:dyDescent="0.2">
      <c r="A600">
        <v>597</v>
      </c>
      <c r="B600" s="30">
        <f t="shared" ca="1" si="72"/>
        <v>0.20192751380926377</v>
      </c>
      <c r="C600" t="b">
        <f t="shared" ca="1" si="73"/>
        <v>1</v>
      </c>
      <c r="D600">
        <f t="shared" ca="1" si="74"/>
        <v>26</v>
      </c>
      <c r="E600">
        <f t="shared" ca="1" si="75"/>
        <v>26</v>
      </c>
      <c r="F600" s="26">
        <f t="shared" ca="1" si="76"/>
        <v>4559.8410838222944</v>
      </c>
      <c r="G600" s="26">
        <f t="shared" ca="1" si="77"/>
        <v>4542.9303889883604</v>
      </c>
      <c r="H600" t="str">
        <f t="shared" ca="1" si="78"/>
        <v>Reactive</v>
      </c>
      <c r="I600" s="26">
        <f t="shared" ca="1" si="79"/>
        <v>16.910694833934031</v>
      </c>
    </row>
    <row r="601" spans="1:9" x14ac:dyDescent="0.2">
      <c r="A601">
        <v>598</v>
      </c>
      <c r="B601" s="30">
        <f t="shared" ca="1" si="72"/>
        <v>0.79382037748344825</v>
      </c>
      <c r="C601" t="b">
        <f t="shared" ca="1" si="73"/>
        <v>0</v>
      </c>
      <c r="D601">
        <f t="shared" ca="1" si="74"/>
        <v>26</v>
      </c>
      <c r="E601">
        <f t="shared" ca="1" si="75"/>
        <v>30</v>
      </c>
      <c r="F601" s="26">
        <f t="shared" ca="1" si="76"/>
        <v>4558.7058239283442</v>
      </c>
      <c r="G601" s="26">
        <f t="shared" ca="1" si="77"/>
        <v>4560.2663995654802</v>
      </c>
      <c r="H601" t="str">
        <f t="shared" ca="1" si="78"/>
        <v>Static</v>
      </c>
      <c r="I601" s="26">
        <f t="shared" ca="1" si="79"/>
        <v>-1.5605756371360258</v>
      </c>
    </row>
    <row r="602" spans="1:9" x14ac:dyDescent="0.2">
      <c r="A602">
        <v>599</v>
      </c>
      <c r="B602" s="30">
        <f t="shared" ca="1" si="72"/>
        <v>0.40571707921239997</v>
      </c>
      <c r="C602" t="b">
        <f t="shared" ca="1" si="73"/>
        <v>0</v>
      </c>
      <c r="D602">
        <f t="shared" ca="1" si="74"/>
        <v>29</v>
      </c>
      <c r="E602">
        <f t="shared" ca="1" si="75"/>
        <v>30</v>
      </c>
      <c r="F602" s="26">
        <f t="shared" ca="1" si="76"/>
        <v>4559.6179982919539</v>
      </c>
      <c r="G602" s="26">
        <f t="shared" ca="1" si="77"/>
        <v>4561.3796993992219</v>
      </c>
      <c r="H602" t="str">
        <f t="shared" ca="1" si="78"/>
        <v>Static</v>
      </c>
      <c r="I602" s="26">
        <f t="shared" ca="1" si="79"/>
        <v>-1.7617011072679816</v>
      </c>
    </row>
    <row r="603" spans="1:9" x14ac:dyDescent="0.2">
      <c r="A603">
        <v>600</v>
      </c>
      <c r="B603" s="30">
        <f t="shared" ca="1" si="72"/>
        <v>0.77280836620330406</v>
      </c>
      <c r="C603" t="b">
        <f t="shared" ca="1" si="73"/>
        <v>0</v>
      </c>
      <c r="D603">
        <f t="shared" ca="1" si="74"/>
        <v>30</v>
      </c>
      <c r="E603">
        <f t="shared" ca="1" si="75"/>
        <v>30</v>
      </c>
      <c r="F603" s="26">
        <f t="shared" ca="1" si="76"/>
        <v>4558.3713710304546</v>
      </c>
      <c r="G603" s="26">
        <f t="shared" ca="1" si="77"/>
        <v>4560.422974903704</v>
      </c>
      <c r="H603" t="str">
        <f t="shared" ca="1" si="78"/>
        <v>Static</v>
      </c>
      <c r="I603" s="26">
        <f t="shared" ca="1" si="79"/>
        <v>-2.0516038732494053</v>
      </c>
    </row>
    <row r="604" spans="1:9" x14ac:dyDescent="0.2">
      <c r="A604">
        <v>601</v>
      </c>
      <c r="B604" s="30">
        <f t="shared" ca="1" si="72"/>
        <v>0.14584175813730904</v>
      </c>
      <c r="C604" t="b">
        <f t="shared" ca="1" si="73"/>
        <v>1</v>
      </c>
      <c r="D604">
        <f t="shared" ca="1" si="74"/>
        <v>26</v>
      </c>
      <c r="E604">
        <f t="shared" ca="1" si="75"/>
        <v>26</v>
      </c>
      <c r="F604" s="26">
        <f t="shared" ca="1" si="76"/>
        <v>4558.3953489918576</v>
      </c>
      <c r="G604" s="26">
        <f t="shared" ca="1" si="77"/>
        <v>4542.2316344424326</v>
      </c>
      <c r="H604" t="str">
        <f t="shared" ca="1" si="78"/>
        <v>Reactive</v>
      </c>
      <c r="I604" s="26">
        <f t="shared" ca="1" si="79"/>
        <v>16.163714549425094</v>
      </c>
    </row>
    <row r="605" spans="1:9" x14ac:dyDescent="0.2">
      <c r="A605">
        <v>602</v>
      </c>
      <c r="B605" s="30">
        <f t="shared" ca="1" si="72"/>
        <v>0.27552109687488913</v>
      </c>
      <c r="C605" t="b">
        <f t="shared" ca="1" si="73"/>
        <v>1</v>
      </c>
      <c r="D605">
        <f t="shared" ca="1" si="74"/>
        <v>28</v>
      </c>
      <c r="E605">
        <f t="shared" ca="1" si="75"/>
        <v>28</v>
      </c>
      <c r="F605" s="26">
        <f t="shared" ca="1" si="76"/>
        <v>4558.8219131657588</v>
      </c>
      <c r="G605" s="26">
        <f t="shared" ca="1" si="77"/>
        <v>4543.5099063421994</v>
      </c>
      <c r="H605" t="str">
        <f t="shared" ca="1" si="78"/>
        <v>Reactive</v>
      </c>
      <c r="I605" s="26">
        <f t="shared" ca="1" si="79"/>
        <v>15.312006823559386</v>
      </c>
    </row>
    <row r="606" spans="1:9" x14ac:dyDescent="0.2">
      <c r="A606">
        <v>603</v>
      </c>
      <c r="B606" s="30">
        <f t="shared" ca="1" si="72"/>
        <v>0.28975662749085584</v>
      </c>
      <c r="C606" t="b">
        <f t="shared" ca="1" si="73"/>
        <v>1</v>
      </c>
      <c r="D606">
        <f t="shared" ca="1" si="74"/>
        <v>28</v>
      </c>
      <c r="E606">
        <f t="shared" ca="1" si="75"/>
        <v>28</v>
      </c>
      <c r="F606" s="26">
        <f t="shared" ca="1" si="76"/>
        <v>4559.220930830118</v>
      </c>
      <c r="G606" s="26">
        <f t="shared" ca="1" si="77"/>
        <v>4542.6013486925076</v>
      </c>
      <c r="H606" t="str">
        <f t="shared" ca="1" si="78"/>
        <v>Reactive</v>
      </c>
      <c r="I606" s="26">
        <f t="shared" ca="1" si="79"/>
        <v>16.61958213761045</v>
      </c>
    </row>
    <row r="607" spans="1:9" x14ac:dyDescent="0.2">
      <c r="A607">
        <v>604</v>
      </c>
      <c r="B607" s="30">
        <f t="shared" ca="1" si="72"/>
        <v>0.84968215310784745</v>
      </c>
      <c r="C607" t="b">
        <f t="shared" ca="1" si="73"/>
        <v>0</v>
      </c>
      <c r="D607">
        <f t="shared" ca="1" si="74"/>
        <v>27</v>
      </c>
      <c r="E607">
        <f t="shared" ca="1" si="75"/>
        <v>30</v>
      </c>
      <c r="F607" s="26">
        <f t="shared" ca="1" si="76"/>
        <v>4558.4838624386221</v>
      </c>
      <c r="G607" s="26">
        <f t="shared" ca="1" si="77"/>
        <v>4561.1198434873868</v>
      </c>
      <c r="H607" t="str">
        <f t="shared" ca="1" si="78"/>
        <v>Static</v>
      </c>
      <c r="I607" s="26">
        <f t="shared" ca="1" si="79"/>
        <v>-2.6359810487647337</v>
      </c>
    </row>
    <row r="608" spans="1:9" x14ac:dyDescent="0.2">
      <c r="A608">
        <v>605</v>
      </c>
      <c r="B608" s="30">
        <f t="shared" ca="1" si="72"/>
        <v>0.90426372117607245</v>
      </c>
      <c r="C608" t="b">
        <f t="shared" ca="1" si="73"/>
        <v>0</v>
      </c>
      <c r="D608">
        <f t="shared" ca="1" si="74"/>
        <v>26</v>
      </c>
      <c r="E608">
        <f t="shared" ca="1" si="75"/>
        <v>30</v>
      </c>
      <c r="F608" s="26">
        <f t="shared" ca="1" si="76"/>
        <v>4557.0863246502986</v>
      </c>
      <c r="G608" s="26">
        <f t="shared" ca="1" si="77"/>
        <v>4559.9674166483583</v>
      </c>
      <c r="H608" t="str">
        <f t="shared" ca="1" si="78"/>
        <v>Static</v>
      </c>
      <c r="I608" s="26">
        <f t="shared" ca="1" si="79"/>
        <v>-2.8810919980596736</v>
      </c>
    </row>
    <row r="609" spans="1:9" x14ac:dyDescent="0.2">
      <c r="A609">
        <v>606</v>
      </c>
      <c r="B609" s="30">
        <f t="shared" ca="1" si="72"/>
        <v>0.71000564892273932</v>
      </c>
      <c r="C609" t="b">
        <f t="shared" ca="1" si="73"/>
        <v>0</v>
      </c>
      <c r="D609">
        <f t="shared" ca="1" si="74"/>
        <v>30</v>
      </c>
      <c r="E609">
        <f t="shared" ca="1" si="75"/>
        <v>30</v>
      </c>
      <c r="F609" s="26">
        <f t="shared" ca="1" si="76"/>
        <v>4560.243573127319</v>
      </c>
      <c r="G609" s="26">
        <f t="shared" ca="1" si="77"/>
        <v>4561.9919891387481</v>
      </c>
      <c r="H609" t="str">
        <f t="shared" ca="1" si="78"/>
        <v>Static</v>
      </c>
      <c r="I609" s="26">
        <f t="shared" ca="1" si="79"/>
        <v>-1.7484160114290717</v>
      </c>
    </row>
    <row r="610" spans="1:9" x14ac:dyDescent="0.2">
      <c r="A610">
        <v>607</v>
      </c>
      <c r="B610" s="30">
        <f t="shared" ca="1" si="72"/>
        <v>0.37454494851835851</v>
      </c>
      <c r="C610" t="b">
        <f t="shared" ca="1" si="73"/>
        <v>0</v>
      </c>
      <c r="D610">
        <f t="shared" ca="1" si="74"/>
        <v>27</v>
      </c>
      <c r="E610">
        <f t="shared" ca="1" si="75"/>
        <v>30</v>
      </c>
      <c r="F610" s="26">
        <f t="shared" ca="1" si="76"/>
        <v>4558.3370813202073</v>
      </c>
      <c r="G610" s="26">
        <f t="shared" ca="1" si="77"/>
        <v>4559.2614060904971</v>
      </c>
      <c r="H610" t="str">
        <f t="shared" ca="1" si="78"/>
        <v>Static</v>
      </c>
      <c r="I610" s="26">
        <f t="shared" ca="1" si="79"/>
        <v>-0.9243247702897861</v>
      </c>
    </row>
    <row r="611" spans="1:9" x14ac:dyDescent="0.2">
      <c r="A611">
        <v>608</v>
      </c>
      <c r="B611" s="30">
        <f t="shared" ca="1" si="72"/>
        <v>0.14659846507533236</v>
      </c>
      <c r="C611" t="b">
        <f t="shared" ca="1" si="73"/>
        <v>1</v>
      </c>
      <c r="D611">
        <f t="shared" ca="1" si="74"/>
        <v>28</v>
      </c>
      <c r="E611">
        <f t="shared" ca="1" si="75"/>
        <v>28</v>
      </c>
      <c r="F611" s="26">
        <f t="shared" ca="1" si="76"/>
        <v>4559.2663199894341</v>
      </c>
      <c r="G611" s="26">
        <f t="shared" ca="1" si="77"/>
        <v>4542.5628678118246</v>
      </c>
      <c r="H611" t="str">
        <f t="shared" ca="1" si="78"/>
        <v>Reactive</v>
      </c>
      <c r="I611" s="26">
        <f t="shared" ca="1" si="79"/>
        <v>16.703452177609506</v>
      </c>
    </row>
    <row r="612" spans="1:9" x14ac:dyDescent="0.2">
      <c r="A612">
        <v>609</v>
      </c>
      <c r="B612" s="30">
        <f t="shared" ca="1" si="72"/>
        <v>0.37225397004325955</v>
      </c>
      <c r="C612" t="b">
        <f t="shared" ca="1" si="73"/>
        <v>0</v>
      </c>
      <c r="D612">
        <f t="shared" ca="1" si="74"/>
        <v>27</v>
      </c>
      <c r="E612">
        <f t="shared" ca="1" si="75"/>
        <v>30</v>
      </c>
      <c r="F612" s="26">
        <f t="shared" ca="1" si="76"/>
        <v>4559.9254346719308</v>
      </c>
      <c r="G612" s="26">
        <f t="shared" ca="1" si="77"/>
        <v>4560.4198306290373</v>
      </c>
      <c r="H612" t="str">
        <f t="shared" ca="1" si="78"/>
        <v>Static</v>
      </c>
      <c r="I612" s="26">
        <f t="shared" ca="1" si="79"/>
        <v>-0.49439595710646245</v>
      </c>
    </row>
    <row r="613" spans="1:9" x14ac:dyDescent="0.2">
      <c r="A613">
        <v>610</v>
      </c>
      <c r="B613" s="30">
        <f t="shared" ca="1" si="72"/>
        <v>5.203345874198595E-2</v>
      </c>
      <c r="C613" t="b">
        <f t="shared" ca="1" si="73"/>
        <v>1</v>
      </c>
      <c r="D613">
        <f t="shared" ca="1" si="74"/>
        <v>29</v>
      </c>
      <c r="E613">
        <f t="shared" ca="1" si="75"/>
        <v>29</v>
      </c>
      <c r="F613" s="26">
        <f t="shared" ca="1" si="76"/>
        <v>4560.8031835235797</v>
      </c>
      <c r="G613" s="26">
        <f t="shared" ca="1" si="77"/>
        <v>4544.7842032604176</v>
      </c>
      <c r="H613" t="str">
        <f t="shared" ca="1" si="78"/>
        <v>Reactive</v>
      </c>
      <c r="I613" s="26">
        <f t="shared" ca="1" si="79"/>
        <v>16.018980263162121</v>
      </c>
    </row>
    <row r="614" spans="1:9" x14ac:dyDescent="0.2">
      <c r="A614">
        <v>611</v>
      </c>
      <c r="B614" s="30">
        <f t="shared" ca="1" si="72"/>
        <v>0.93003320661785505</v>
      </c>
      <c r="C614" t="b">
        <f t="shared" ca="1" si="73"/>
        <v>0</v>
      </c>
      <c r="D614">
        <f t="shared" ca="1" si="74"/>
        <v>26</v>
      </c>
      <c r="E614">
        <f t="shared" ca="1" si="75"/>
        <v>30</v>
      </c>
      <c r="F614" s="26">
        <f t="shared" ca="1" si="76"/>
        <v>4558.9483213928879</v>
      </c>
      <c r="G614" s="26">
        <f t="shared" ca="1" si="77"/>
        <v>4561.0751492095387</v>
      </c>
      <c r="H614" t="str">
        <f t="shared" ca="1" si="78"/>
        <v>Static</v>
      </c>
      <c r="I614" s="26">
        <f t="shared" ca="1" si="79"/>
        <v>-2.1268278166508026</v>
      </c>
    </row>
    <row r="615" spans="1:9" x14ac:dyDescent="0.2">
      <c r="A615">
        <v>612</v>
      </c>
      <c r="B615" s="30">
        <f t="shared" ca="1" si="72"/>
        <v>0.32416683033163307</v>
      </c>
      <c r="C615" t="b">
        <f t="shared" ca="1" si="73"/>
        <v>1</v>
      </c>
      <c r="D615">
        <f t="shared" ca="1" si="74"/>
        <v>26</v>
      </c>
      <c r="E615">
        <f t="shared" ca="1" si="75"/>
        <v>26</v>
      </c>
      <c r="F615" s="26">
        <f t="shared" ca="1" si="76"/>
        <v>4559.4536736989585</v>
      </c>
      <c r="G615" s="26">
        <f t="shared" ca="1" si="77"/>
        <v>4544.1005411639489</v>
      </c>
      <c r="H615" t="str">
        <f t="shared" ca="1" si="78"/>
        <v>Reactive</v>
      </c>
      <c r="I615" s="26">
        <f t="shared" ca="1" si="79"/>
        <v>15.353132535009536</v>
      </c>
    </row>
    <row r="616" spans="1:9" x14ac:dyDescent="0.2">
      <c r="A616">
        <v>613</v>
      </c>
      <c r="B616" s="30">
        <f t="shared" ca="1" si="72"/>
        <v>8.4168137821607147E-2</v>
      </c>
      <c r="C616" t="b">
        <f t="shared" ca="1" si="73"/>
        <v>1</v>
      </c>
      <c r="D616">
        <f t="shared" ca="1" si="74"/>
        <v>26</v>
      </c>
      <c r="E616">
        <f t="shared" ca="1" si="75"/>
        <v>26</v>
      </c>
      <c r="F616" s="26">
        <f t="shared" ca="1" si="76"/>
        <v>4558.6194242480578</v>
      </c>
      <c r="G616" s="26">
        <f t="shared" ca="1" si="77"/>
        <v>4543.2554156430433</v>
      </c>
      <c r="H616" t="str">
        <f t="shared" ca="1" si="78"/>
        <v>Reactive</v>
      </c>
      <c r="I616" s="26">
        <f t="shared" ca="1" si="79"/>
        <v>15.364008605014533</v>
      </c>
    </row>
    <row r="617" spans="1:9" x14ac:dyDescent="0.2">
      <c r="A617">
        <v>614</v>
      </c>
      <c r="B617" s="30">
        <f t="shared" ca="1" si="72"/>
        <v>0.53684384219251469</v>
      </c>
      <c r="C617" t="b">
        <f t="shared" ca="1" si="73"/>
        <v>0</v>
      </c>
      <c r="D617">
        <f t="shared" ca="1" si="74"/>
        <v>26</v>
      </c>
      <c r="E617">
        <f t="shared" ca="1" si="75"/>
        <v>30</v>
      </c>
      <c r="F617" s="26">
        <f t="shared" ca="1" si="76"/>
        <v>4559.3261114626721</v>
      </c>
      <c r="G617" s="26">
        <f t="shared" ca="1" si="77"/>
        <v>4561.7253313209349</v>
      </c>
      <c r="H617" t="str">
        <f t="shared" ca="1" si="78"/>
        <v>Static</v>
      </c>
      <c r="I617" s="26">
        <f t="shared" ca="1" si="79"/>
        <v>-2.399219858262768</v>
      </c>
    </row>
    <row r="618" spans="1:9" x14ac:dyDescent="0.2">
      <c r="A618">
        <v>615</v>
      </c>
      <c r="B618" s="30">
        <f t="shared" ca="1" si="72"/>
        <v>0.72712566342446672</v>
      </c>
      <c r="C618" t="b">
        <f t="shared" ca="1" si="73"/>
        <v>0</v>
      </c>
      <c r="D618">
        <f t="shared" ca="1" si="74"/>
        <v>26</v>
      </c>
      <c r="E618">
        <f t="shared" ca="1" si="75"/>
        <v>30</v>
      </c>
      <c r="F618" s="26">
        <f t="shared" ca="1" si="76"/>
        <v>4557.8703296118128</v>
      </c>
      <c r="G618" s="26">
        <f t="shared" ca="1" si="77"/>
        <v>4560.5461151947056</v>
      </c>
      <c r="H618" t="str">
        <f t="shared" ca="1" si="78"/>
        <v>Static</v>
      </c>
      <c r="I618" s="26">
        <f t="shared" ca="1" si="79"/>
        <v>-2.6757855828927859</v>
      </c>
    </row>
    <row r="619" spans="1:9" x14ac:dyDescent="0.2">
      <c r="A619">
        <v>616</v>
      </c>
      <c r="B619" s="30">
        <f t="shared" ca="1" si="72"/>
        <v>0.58996130038255923</v>
      </c>
      <c r="C619" t="b">
        <f t="shared" ca="1" si="73"/>
        <v>0</v>
      </c>
      <c r="D619">
        <f t="shared" ca="1" si="74"/>
        <v>30</v>
      </c>
      <c r="E619">
        <f t="shared" ca="1" si="75"/>
        <v>30</v>
      </c>
      <c r="F619" s="26">
        <f t="shared" ca="1" si="76"/>
        <v>4558.4003436839184</v>
      </c>
      <c r="G619" s="26">
        <f t="shared" ca="1" si="77"/>
        <v>4561.7077341993472</v>
      </c>
      <c r="H619" t="str">
        <f t="shared" ca="1" si="78"/>
        <v>Static</v>
      </c>
      <c r="I619" s="26">
        <f t="shared" ca="1" si="79"/>
        <v>-3.3073905154287786</v>
      </c>
    </row>
    <row r="620" spans="1:9" x14ac:dyDescent="0.2">
      <c r="A620">
        <v>617</v>
      </c>
      <c r="B620" s="30">
        <f t="shared" ca="1" si="72"/>
        <v>0.75806328477879192</v>
      </c>
      <c r="C620" t="b">
        <f t="shared" ca="1" si="73"/>
        <v>0</v>
      </c>
      <c r="D620">
        <f t="shared" ca="1" si="74"/>
        <v>26</v>
      </c>
      <c r="E620">
        <f t="shared" ca="1" si="75"/>
        <v>30</v>
      </c>
      <c r="F620" s="26">
        <f t="shared" ca="1" si="76"/>
        <v>4558.5949449925147</v>
      </c>
      <c r="G620" s="26">
        <f t="shared" ca="1" si="77"/>
        <v>4558.4136580217109</v>
      </c>
      <c r="H620" t="str">
        <f t="shared" ca="1" si="78"/>
        <v>Reactive</v>
      </c>
      <c r="I620" s="26">
        <f t="shared" ca="1" si="79"/>
        <v>0.18128697080373968</v>
      </c>
    </row>
    <row r="621" spans="1:9" x14ac:dyDescent="0.2">
      <c r="A621">
        <v>618</v>
      </c>
      <c r="B621" s="30">
        <f t="shared" ca="1" si="72"/>
        <v>0.6881401110874531</v>
      </c>
      <c r="C621" t="b">
        <f t="shared" ca="1" si="73"/>
        <v>0</v>
      </c>
      <c r="D621">
        <f t="shared" ca="1" si="74"/>
        <v>27</v>
      </c>
      <c r="E621">
        <f t="shared" ca="1" si="75"/>
        <v>30</v>
      </c>
      <c r="F621" s="26">
        <f t="shared" ca="1" si="76"/>
        <v>4558.9308832094639</v>
      </c>
      <c r="G621" s="26">
        <f t="shared" ca="1" si="77"/>
        <v>4559.4641591068212</v>
      </c>
      <c r="H621" t="str">
        <f t="shared" ca="1" si="78"/>
        <v>Static</v>
      </c>
      <c r="I621" s="26">
        <f t="shared" ca="1" si="79"/>
        <v>-0.53327589735727088</v>
      </c>
    </row>
    <row r="622" spans="1:9" x14ac:dyDescent="0.2">
      <c r="A622">
        <v>619</v>
      </c>
      <c r="B622" s="30">
        <f t="shared" ca="1" si="72"/>
        <v>0.51147287498232319</v>
      </c>
      <c r="C622" t="b">
        <f t="shared" ca="1" si="73"/>
        <v>0</v>
      </c>
      <c r="D622">
        <f t="shared" ca="1" si="74"/>
        <v>27</v>
      </c>
      <c r="E622">
        <f t="shared" ca="1" si="75"/>
        <v>30</v>
      </c>
      <c r="F622" s="26">
        <f t="shared" ca="1" si="76"/>
        <v>4559.6569625892898</v>
      </c>
      <c r="G622" s="26">
        <f t="shared" ca="1" si="77"/>
        <v>4559.5717132537293</v>
      </c>
      <c r="H622" t="str">
        <f t="shared" ca="1" si="78"/>
        <v>Reactive</v>
      </c>
      <c r="I622" s="26">
        <f t="shared" ca="1" si="79"/>
        <v>8.5249335560547479E-2</v>
      </c>
    </row>
    <row r="623" spans="1:9" x14ac:dyDescent="0.2">
      <c r="A623">
        <v>620</v>
      </c>
      <c r="B623" s="30">
        <f t="shared" ca="1" si="72"/>
        <v>0.17295797366191779</v>
      </c>
      <c r="C623" t="b">
        <f t="shared" ca="1" si="73"/>
        <v>1</v>
      </c>
      <c r="D623">
        <f t="shared" ca="1" si="74"/>
        <v>29</v>
      </c>
      <c r="E623">
        <f t="shared" ca="1" si="75"/>
        <v>29</v>
      </c>
      <c r="F623" s="26">
        <f t="shared" ca="1" si="76"/>
        <v>4561.3014788681139</v>
      </c>
      <c r="G623" s="26">
        <f t="shared" ca="1" si="77"/>
        <v>4543.4872063350413</v>
      </c>
      <c r="H623" t="str">
        <f t="shared" ca="1" si="78"/>
        <v>Reactive</v>
      </c>
      <c r="I623" s="26">
        <f t="shared" ca="1" si="79"/>
        <v>17.814272533072653</v>
      </c>
    </row>
    <row r="624" spans="1:9" x14ac:dyDescent="0.2">
      <c r="A624">
        <v>621</v>
      </c>
      <c r="B624" s="30">
        <f t="shared" ca="1" si="72"/>
        <v>0.43708906997377017</v>
      </c>
      <c r="C624" t="b">
        <f t="shared" ca="1" si="73"/>
        <v>0</v>
      </c>
      <c r="D624">
        <f t="shared" ca="1" si="74"/>
        <v>27</v>
      </c>
      <c r="E624">
        <f t="shared" ca="1" si="75"/>
        <v>30</v>
      </c>
      <c r="F624" s="26">
        <f t="shared" ca="1" si="76"/>
        <v>4558.719523646685</v>
      </c>
      <c r="G624" s="26">
        <f t="shared" ca="1" si="77"/>
        <v>4560.4588417876957</v>
      </c>
      <c r="H624" t="str">
        <f t="shared" ca="1" si="78"/>
        <v>Static</v>
      </c>
      <c r="I624" s="26">
        <f t="shared" ca="1" si="79"/>
        <v>-1.739318141010699</v>
      </c>
    </row>
    <row r="625" spans="1:9" x14ac:dyDescent="0.2">
      <c r="A625">
        <v>622</v>
      </c>
      <c r="B625" s="30">
        <f t="shared" ca="1" si="72"/>
        <v>0.24395408343273783</v>
      </c>
      <c r="C625" t="b">
        <f t="shared" ca="1" si="73"/>
        <v>1</v>
      </c>
      <c r="D625">
        <f t="shared" ca="1" si="74"/>
        <v>27</v>
      </c>
      <c r="E625">
        <f t="shared" ca="1" si="75"/>
        <v>27</v>
      </c>
      <c r="F625" s="26">
        <f t="shared" ca="1" si="76"/>
        <v>4559.2335723815268</v>
      </c>
      <c r="G625" s="26">
        <f t="shared" ca="1" si="77"/>
        <v>4542.1469115503751</v>
      </c>
      <c r="H625" t="str">
        <f t="shared" ca="1" si="78"/>
        <v>Reactive</v>
      </c>
      <c r="I625" s="26">
        <f t="shared" ca="1" si="79"/>
        <v>17.086660831151676</v>
      </c>
    </row>
    <row r="626" spans="1:9" x14ac:dyDescent="0.2">
      <c r="A626">
        <v>623</v>
      </c>
      <c r="B626" s="30">
        <f t="shared" ca="1" si="72"/>
        <v>0.55800560762341755</v>
      </c>
      <c r="C626" t="b">
        <f t="shared" ca="1" si="73"/>
        <v>0</v>
      </c>
      <c r="D626">
        <f t="shared" ca="1" si="74"/>
        <v>28</v>
      </c>
      <c r="E626">
        <f t="shared" ca="1" si="75"/>
        <v>30</v>
      </c>
      <c r="F626" s="26">
        <f t="shared" ca="1" si="76"/>
        <v>4559.9667144488558</v>
      </c>
      <c r="G626" s="26">
        <f t="shared" ca="1" si="77"/>
        <v>4559.6990927928746</v>
      </c>
      <c r="H626" t="str">
        <f t="shared" ca="1" si="78"/>
        <v>Reactive</v>
      </c>
      <c r="I626" s="26">
        <f t="shared" ca="1" si="79"/>
        <v>0.26762165598120191</v>
      </c>
    </row>
    <row r="627" spans="1:9" x14ac:dyDescent="0.2">
      <c r="A627">
        <v>624</v>
      </c>
      <c r="B627" s="30">
        <f t="shared" ca="1" si="72"/>
        <v>0.23842598768672563</v>
      </c>
      <c r="C627" t="b">
        <f t="shared" ca="1" si="73"/>
        <v>1</v>
      </c>
      <c r="D627">
        <f t="shared" ca="1" si="74"/>
        <v>28</v>
      </c>
      <c r="E627">
        <f t="shared" ca="1" si="75"/>
        <v>28</v>
      </c>
      <c r="F627" s="26">
        <f t="shared" ca="1" si="76"/>
        <v>4556.0412110592242</v>
      </c>
      <c r="G627" s="26">
        <f t="shared" ca="1" si="77"/>
        <v>4543.1694715554158</v>
      </c>
      <c r="H627" t="str">
        <f t="shared" ca="1" si="78"/>
        <v>Reactive</v>
      </c>
      <c r="I627" s="26">
        <f t="shared" ca="1" si="79"/>
        <v>12.871739503808385</v>
      </c>
    </row>
    <row r="628" spans="1:9" x14ac:dyDescent="0.2">
      <c r="A628">
        <v>625</v>
      </c>
      <c r="B628" s="30">
        <f t="shared" ca="1" si="72"/>
        <v>0.26512301053622567</v>
      </c>
      <c r="C628" t="b">
        <f t="shared" ca="1" si="73"/>
        <v>1</v>
      </c>
      <c r="D628">
        <f t="shared" ca="1" si="74"/>
        <v>29</v>
      </c>
      <c r="E628">
        <f t="shared" ca="1" si="75"/>
        <v>29</v>
      </c>
      <c r="F628" s="26">
        <f t="shared" ca="1" si="76"/>
        <v>4557.2841605173671</v>
      </c>
      <c r="G628" s="26">
        <f t="shared" ca="1" si="77"/>
        <v>4543.6522778405997</v>
      </c>
      <c r="H628" t="str">
        <f t="shared" ca="1" si="78"/>
        <v>Reactive</v>
      </c>
      <c r="I628" s="26">
        <f t="shared" ca="1" si="79"/>
        <v>13.631882676767418</v>
      </c>
    </row>
    <row r="629" spans="1:9" x14ac:dyDescent="0.2">
      <c r="A629">
        <v>626</v>
      </c>
      <c r="B629" s="30">
        <f t="shared" ca="1" si="72"/>
        <v>0.98192064526877054</v>
      </c>
      <c r="C629" t="b">
        <f t="shared" ca="1" si="73"/>
        <v>0</v>
      </c>
      <c r="D629">
        <f t="shared" ca="1" si="74"/>
        <v>29</v>
      </c>
      <c r="E629">
        <f t="shared" ca="1" si="75"/>
        <v>30</v>
      </c>
      <c r="F629" s="26">
        <f t="shared" ca="1" si="76"/>
        <v>4558.166441232026</v>
      </c>
      <c r="G629" s="26">
        <f t="shared" ca="1" si="77"/>
        <v>4558.1024645485049</v>
      </c>
      <c r="H629" t="str">
        <f t="shared" ca="1" si="78"/>
        <v>Reactive</v>
      </c>
      <c r="I629" s="26">
        <f t="shared" ca="1" si="79"/>
        <v>6.397668352110486E-2</v>
      </c>
    </row>
    <row r="630" spans="1:9" x14ac:dyDescent="0.2">
      <c r="A630">
        <v>627</v>
      </c>
      <c r="B630" s="30">
        <f t="shared" ca="1" si="72"/>
        <v>0.16736159075527124</v>
      </c>
      <c r="C630" t="b">
        <f t="shared" ca="1" si="73"/>
        <v>1</v>
      </c>
      <c r="D630">
        <f t="shared" ca="1" si="74"/>
        <v>26</v>
      </c>
      <c r="E630">
        <f t="shared" ca="1" si="75"/>
        <v>26</v>
      </c>
      <c r="F630" s="26">
        <f t="shared" ca="1" si="76"/>
        <v>4557.7437717786252</v>
      </c>
      <c r="G630" s="26">
        <f t="shared" ca="1" si="77"/>
        <v>4541.3097948958284</v>
      </c>
      <c r="H630" t="str">
        <f t="shared" ca="1" si="78"/>
        <v>Reactive</v>
      </c>
      <c r="I630" s="26">
        <f t="shared" ca="1" si="79"/>
        <v>16.433976882796742</v>
      </c>
    </row>
    <row r="631" spans="1:9" x14ac:dyDescent="0.2">
      <c r="A631">
        <v>628</v>
      </c>
      <c r="B631" s="30">
        <f t="shared" ca="1" si="72"/>
        <v>0.44115744097299081</v>
      </c>
      <c r="C631" t="b">
        <f t="shared" ca="1" si="73"/>
        <v>0</v>
      </c>
      <c r="D631">
        <f t="shared" ca="1" si="74"/>
        <v>26</v>
      </c>
      <c r="E631">
        <f t="shared" ca="1" si="75"/>
        <v>30</v>
      </c>
      <c r="F631" s="26">
        <f t="shared" ca="1" si="76"/>
        <v>4558.357056669427</v>
      </c>
      <c r="G631" s="26">
        <f t="shared" ca="1" si="77"/>
        <v>4559.3985821964461</v>
      </c>
      <c r="H631" t="str">
        <f t="shared" ca="1" si="78"/>
        <v>Static</v>
      </c>
      <c r="I631" s="26">
        <f t="shared" ca="1" si="79"/>
        <v>-1.0415255270190755</v>
      </c>
    </row>
    <row r="632" spans="1:9" x14ac:dyDescent="0.2">
      <c r="A632">
        <v>629</v>
      </c>
      <c r="B632" s="30">
        <f t="shared" ca="1" si="72"/>
        <v>3.1714796326029582E-2</v>
      </c>
      <c r="C632" t="b">
        <f t="shared" ca="1" si="73"/>
        <v>1</v>
      </c>
      <c r="D632">
        <f t="shared" ca="1" si="74"/>
        <v>26</v>
      </c>
      <c r="E632">
        <f t="shared" ca="1" si="75"/>
        <v>26</v>
      </c>
      <c r="F632" s="26">
        <f t="shared" ca="1" si="76"/>
        <v>4559.343876482676</v>
      </c>
      <c r="G632" s="26">
        <f t="shared" ca="1" si="77"/>
        <v>4542.3152874173138</v>
      </c>
      <c r="H632" t="str">
        <f t="shared" ca="1" si="78"/>
        <v>Reactive</v>
      </c>
      <c r="I632" s="26">
        <f t="shared" ca="1" si="79"/>
        <v>17.028589065362212</v>
      </c>
    </row>
    <row r="633" spans="1:9" x14ac:dyDescent="0.2">
      <c r="A633">
        <v>630</v>
      </c>
      <c r="B633" s="30">
        <f t="shared" ca="1" si="72"/>
        <v>0.63547756477324691</v>
      </c>
      <c r="C633" t="b">
        <f t="shared" ca="1" si="73"/>
        <v>0</v>
      </c>
      <c r="D633">
        <f t="shared" ca="1" si="74"/>
        <v>30</v>
      </c>
      <c r="E633">
        <f t="shared" ca="1" si="75"/>
        <v>30</v>
      </c>
      <c r="F633" s="26">
        <f t="shared" ca="1" si="76"/>
        <v>4559.8583244940055</v>
      </c>
      <c r="G633" s="26">
        <f t="shared" ca="1" si="77"/>
        <v>4561.4551707554101</v>
      </c>
      <c r="H633" t="str">
        <f t="shared" ca="1" si="78"/>
        <v>Static</v>
      </c>
      <c r="I633" s="26">
        <f t="shared" ca="1" si="79"/>
        <v>-1.5968462614046075</v>
      </c>
    </row>
    <row r="634" spans="1:9" x14ac:dyDescent="0.2">
      <c r="A634">
        <v>631</v>
      </c>
      <c r="B634" s="30">
        <f t="shared" ca="1" si="72"/>
        <v>0.71574129580618351</v>
      </c>
      <c r="C634" t="b">
        <f t="shared" ca="1" si="73"/>
        <v>0</v>
      </c>
      <c r="D634">
        <f t="shared" ca="1" si="74"/>
        <v>29</v>
      </c>
      <c r="E634">
        <f t="shared" ca="1" si="75"/>
        <v>30</v>
      </c>
      <c r="F634" s="26">
        <f t="shared" ca="1" si="76"/>
        <v>4558.8809087193058</v>
      </c>
      <c r="G634" s="26">
        <f t="shared" ca="1" si="77"/>
        <v>4560.4611362607648</v>
      </c>
      <c r="H634" t="str">
        <f t="shared" ca="1" si="78"/>
        <v>Static</v>
      </c>
      <c r="I634" s="26">
        <f t="shared" ca="1" si="79"/>
        <v>-1.5802275414589531</v>
      </c>
    </row>
    <row r="635" spans="1:9" x14ac:dyDescent="0.2">
      <c r="A635">
        <v>632</v>
      </c>
      <c r="B635" s="30">
        <f t="shared" ca="1" si="72"/>
        <v>0.43588484699111829</v>
      </c>
      <c r="C635" t="b">
        <f t="shared" ca="1" si="73"/>
        <v>0</v>
      </c>
      <c r="D635">
        <f t="shared" ca="1" si="74"/>
        <v>26</v>
      </c>
      <c r="E635">
        <f t="shared" ca="1" si="75"/>
        <v>30</v>
      </c>
      <c r="F635" s="26">
        <f t="shared" ca="1" si="76"/>
        <v>4557.9856457567748</v>
      </c>
      <c r="G635" s="26">
        <f t="shared" ca="1" si="77"/>
        <v>4559.937016862923</v>
      </c>
      <c r="H635" t="str">
        <f t="shared" ca="1" si="78"/>
        <v>Static</v>
      </c>
      <c r="I635" s="26">
        <f t="shared" ca="1" si="79"/>
        <v>-1.9513711061481445</v>
      </c>
    </row>
    <row r="636" spans="1:9" x14ac:dyDescent="0.2">
      <c r="A636">
        <v>633</v>
      </c>
      <c r="B636" s="30">
        <f t="shared" ca="1" si="72"/>
        <v>0.52928733671363737</v>
      </c>
      <c r="C636" t="b">
        <f t="shared" ca="1" si="73"/>
        <v>0</v>
      </c>
      <c r="D636">
        <f t="shared" ca="1" si="74"/>
        <v>29</v>
      </c>
      <c r="E636">
        <f t="shared" ca="1" si="75"/>
        <v>30</v>
      </c>
      <c r="F636" s="26">
        <f t="shared" ca="1" si="76"/>
        <v>4559.3052132640987</v>
      </c>
      <c r="G636" s="26">
        <f t="shared" ca="1" si="77"/>
        <v>4560.8253111536751</v>
      </c>
      <c r="H636" t="str">
        <f t="shared" ca="1" si="78"/>
        <v>Static</v>
      </c>
      <c r="I636" s="26">
        <f t="shared" ca="1" si="79"/>
        <v>-1.520097889576391</v>
      </c>
    </row>
    <row r="637" spans="1:9" x14ac:dyDescent="0.2">
      <c r="A637">
        <v>634</v>
      </c>
      <c r="B637" s="30">
        <f t="shared" ca="1" si="72"/>
        <v>0.54518792978832542</v>
      </c>
      <c r="C637" t="b">
        <f t="shared" ca="1" si="73"/>
        <v>0</v>
      </c>
      <c r="D637">
        <f t="shared" ca="1" si="74"/>
        <v>30</v>
      </c>
      <c r="E637">
        <f t="shared" ca="1" si="75"/>
        <v>30</v>
      </c>
      <c r="F637" s="26">
        <f t="shared" ca="1" si="76"/>
        <v>4558.9508435234902</v>
      </c>
      <c r="G637" s="26">
        <f t="shared" ca="1" si="77"/>
        <v>4560.1522313359319</v>
      </c>
      <c r="H637" t="str">
        <f t="shared" ca="1" si="78"/>
        <v>Static</v>
      </c>
      <c r="I637" s="26">
        <f t="shared" ca="1" si="79"/>
        <v>-1.2013878124416806</v>
      </c>
    </row>
    <row r="638" spans="1:9" x14ac:dyDescent="0.2">
      <c r="A638">
        <v>635</v>
      </c>
      <c r="B638" s="30">
        <f t="shared" ca="1" si="72"/>
        <v>0.69784403539527506</v>
      </c>
      <c r="C638" t="b">
        <f t="shared" ca="1" si="73"/>
        <v>0</v>
      </c>
      <c r="D638">
        <f t="shared" ca="1" si="74"/>
        <v>28</v>
      </c>
      <c r="E638">
        <f t="shared" ca="1" si="75"/>
        <v>30</v>
      </c>
      <c r="F638" s="26">
        <f t="shared" ca="1" si="76"/>
        <v>4556.8315986637708</v>
      </c>
      <c r="G638" s="26">
        <f t="shared" ca="1" si="77"/>
        <v>4560.7397094361868</v>
      </c>
      <c r="H638" t="str">
        <f t="shared" ca="1" si="78"/>
        <v>Static</v>
      </c>
      <c r="I638" s="26">
        <f t="shared" ca="1" si="79"/>
        <v>-3.9081107724159665</v>
      </c>
    </row>
    <row r="639" spans="1:9" x14ac:dyDescent="0.2">
      <c r="A639">
        <v>636</v>
      </c>
      <c r="B639" s="30">
        <f t="shared" ca="1" si="72"/>
        <v>0.6057574763033311</v>
      </c>
      <c r="C639" t="b">
        <f t="shared" ca="1" si="73"/>
        <v>0</v>
      </c>
      <c r="D639">
        <f t="shared" ca="1" si="74"/>
        <v>30</v>
      </c>
      <c r="E639">
        <f t="shared" ca="1" si="75"/>
        <v>30</v>
      </c>
      <c r="F639" s="26">
        <f t="shared" ca="1" si="76"/>
        <v>4558.6911893572842</v>
      </c>
      <c r="G639" s="26">
        <f t="shared" ca="1" si="77"/>
        <v>4560.0789212651262</v>
      </c>
      <c r="H639" t="str">
        <f t="shared" ca="1" si="78"/>
        <v>Static</v>
      </c>
      <c r="I639" s="26">
        <f t="shared" ca="1" si="79"/>
        <v>-1.3877319078419532</v>
      </c>
    </row>
    <row r="640" spans="1:9" x14ac:dyDescent="0.2">
      <c r="A640">
        <v>637</v>
      </c>
      <c r="B640" s="30">
        <f t="shared" ca="1" si="72"/>
        <v>0.58866281403538301</v>
      </c>
      <c r="C640" t="b">
        <f t="shared" ca="1" si="73"/>
        <v>0</v>
      </c>
      <c r="D640">
        <f t="shared" ca="1" si="74"/>
        <v>30</v>
      </c>
      <c r="E640">
        <f t="shared" ca="1" si="75"/>
        <v>30</v>
      </c>
      <c r="F640" s="26">
        <f t="shared" ca="1" si="76"/>
        <v>4558.7846772221801</v>
      </c>
      <c r="G640" s="26">
        <f t="shared" ca="1" si="77"/>
        <v>4561.8076349456815</v>
      </c>
      <c r="H640" t="str">
        <f t="shared" ca="1" si="78"/>
        <v>Static</v>
      </c>
      <c r="I640" s="26">
        <f t="shared" ca="1" si="79"/>
        <v>-3.0229577235013494</v>
      </c>
    </row>
    <row r="641" spans="1:9" x14ac:dyDescent="0.2">
      <c r="A641">
        <v>638</v>
      </c>
      <c r="B641" s="30">
        <f t="shared" ca="1" si="72"/>
        <v>0.1931277077096607</v>
      </c>
      <c r="C641" t="b">
        <f t="shared" ca="1" si="73"/>
        <v>1</v>
      </c>
      <c r="D641">
        <f t="shared" ca="1" si="74"/>
        <v>28</v>
      </c>
      <c r="E641">
        <f t="shared" ca="1" si="75"/>
        <v>28</v>
      </c>
      <c r="F641" s="26">
        <f t="shared" ca="1" si="76"/>
        <v>4559.626981616545</v>
      </c>
      <c r="G641" s="26">
        <f t="shared" ca="1" si="77"/>
        <v>4542.5383897505462</v>
      </c>
      <c r="H641" t="str">
        <f t="shared" ca="1" si="78"/>
        <v>Reactive</v>
      </c>
      <c r="I641" s="26">
        <f t="shared" ca="1" si="79"/>
        <v>17.088591865998751</v>
      </c>
    </row>
    <row r="642" spans="1:9" x14ac:dyDescent="0.2">
      <c r="A642">
        <v>639</v>
      </c>
      <c r="B642" s="30">
        <f t="shared" ca="1" si="72"/>
        <v>0.7388231192958773</v>
      </c>
      <c r="C642" t="b">
        <f t="shared" ca="1" si="73"/>
        <v>0</v>
      </c>
      <c r="D642">
        <f t="shared" ca="1" si="74"/>
        <v>30</v>
      </c>
      <c r="E642">
        <f t="shared" ca="1" si="75"/>
        <v>30</v>
      </c>
      <c r="F642" s="26">
        <f t="shared" ca="1" si="76"/>
        <v>4559.9143516427057</v>
      </c>
      <c r="G642" s="26">
        <f t="shared" ca="1" si="77"/>
        <v>4561.0353305846738</v>
      </c>
      <c r="H642" t="str">
        <f t="shared" ca="1" si="78"/>
        <v>Static</v>
      </c>
      <c r="I642" s="26">
        <f t="shared" ca="1" si="79"/>
        <v>-1.1209789419681329</v>
      </c>
    </row>
    <row r="643" spans="1:9" x14ac:dyDescent="0.2">
      <c r="A643">
        <v>640</v>
      </c>
      <c r="B643" s="30">
        <f t="shared" ca="1" si="72"/>
        <v>0.18840129543034767</v>
      </c>
      <c r="C643" t="b">
        <f t="shared" ca="1" si="73"/>
        <v>1</v>
      </c>
      <c r="D643">
        <f t="shared" ca="1" si="74"/>
        <v>26</v>
      </c>
      <c r="E643">
        <f t="shared" ca="1" si="75"/>
        <v>26</v>
      </c>
      <c r="F643" s="26">
        <f t="shared" ca="1" si="76"/>
        <v>4558.3590874310003</v>
      </c>
      <c r="G643" s="26">
        <f t="shared" ca="1" si="77"/>
        <v>4541.9502609498841</v>
      </c>
      <c r="H643" t="str">
        <f t="shared" ca="1" si="78"/>
        <v>Reactive</v>
      </c>
      <c r="I643" s="26">
        <f t="shared" ca="1" si="79"/>
        <v>16.408826481116193</v>
      </c>
    </row>
    <row r="644" spans="1:9" x14ac:dyDescent="0.2">
      <c r="A644">
        <v>641</v>
      </c>
      <c r="B644" s="30">
        <f t="shared" ref="B644:B707" ca="1" si="80">RAND()</f>
        <v>0.74807184732498666</v>
      </c>
      <c r="C644" t="b">
        <f t="shared" ref="C644:C707" ca="1" si="81">B644&lt;ProbSC</f>
        <v>0</v>
      </c>
      <c r="D644">
        <f t="shared" ref="D644:D707" ca="1" si="82">ReactMin+INT(RAND()*(ReactMax-ReactMin+1))</f>
        <v>29</v>
      </c>
      <c r="E644">
        <f t="shared" ref="E644:E707" ca="1" si="83">IF(C644,D644,MustLap)</f>
        <v>30</v>
      </c>
      <c r="F644" s="26">
        <f t="shared" ref="F644:F707" ca="1" si="84">BaseLap*Laps+Deg*(PlanLap*(PlanLap-1)/2+(Laps-PlanLap)*(Laps-PlanLap-1)/2)+PitGreen+NORMINV(RAND(),0,NoiseSD)</f>
        <v>4559.1461560002908</v>
      </c>
      <c r="G644" s="26">
        <f t="shared" ref="G644:G707" ca="1" si="85">BaseLap*Laps+Deg*(E644*(E644-1)/2+(Laps-E644)*(Laps-E644-1)/2)+IF(C644,PitSC,PitGreen)+NORMINV(RAND(),0,NoiseSD)</f>
        <v>4562.3971963466165</v>
      </c>
      <c r="H644" t="str">
        <f t="shared" ref="H644:H707" ca="1" si="86">IF(F644&lt;G644,"Static","Reactive")</f>
        <v>Static</v>
      </c>
      <c r="I644" s="26">
        <f t="shared" ref="I644:I707" ca="1" si="87">F644-G644</f>
        <v>-3.2510403463256807</v>
      </c>
    </row>
    <row r="645" spans="1:9" x14ac:dyDescent="0.2">
      <c r="A645">
        <v>642</v>
      </c>
      <c r="B645" s="30">
        <f t="shared" ca="1" si="80"/>
        <v>0.86340813917183501</v>
      </c>
      <c r="C645" t="b">
        <f t="shared" ca="1" si="81"/>
        <v>0</v>
      </c>
      <c r="D645">
        <f t="shared" ca="1" si="82"/>
        <v>29</v>
      </c>
      <c r="E645">
        <f t="shared" ca="1" si="83"/>
        <v>30</v>
      </c>
      <c r="F645" s="26">
        <f t="shared" ca="1" si="84"/>
        <v>4558.0114904229222</v>
      </c>
      <c r="G645" s="26">
        <f t="shared" ca="1" si="85"/>
        <v>4561.145004958702</v>
      </c>
      <c r="H645" t="str">
        <f t="shared" ca="1" si="86"/>
        <v>Static</v>
      </c>
      <c r="I645" s="26">
        <f t="shared" ca="1" si="87"/>
        <v>-3.1335145357797956</v>
      </c>
    </row>
    <row r="646" spans="1:9" x14ac:dyDescent="0.2">
      <c r="A646">
        <v>643</v>
      </c>
      <c r="B646" s="30">
        <f t="shared" ca="1" si="80"/>
        <v>0.28768098205905868</v>
      </c>
      <c r="C646" t="b">
        <f t="shared" ca="1" si="81"/>
        <v>1</v>
      </c>
      <c r="D646">
        <f t="shared" ca="1" si="82"/>
        <v>26</v>
      </c>
      <c r="E646">
        <f t="shared" ca="1" si="83"/>
        <v>26</v>
      </c>
      <c r="F646" s="26">
        <f t="shared" ca="1" si="84"/>
        <v>4559.4017765875733</v>
      </c>
      <c r="G646" s="26">
        <f t="shared" ca="1" si="85"/>
        <v>4543.0477486503341</v>
      </c>
      <c r="H646" t="str">
        <f t="shared" ca="1" si="86"/>
        <v>Reactive</v>
      </c>
      <c r="I646" s="26">
        <f t="shared" ca="1" si="87"/>
        <v>16.354027937239152</v>
      </c>
    </row>
    <row r="647" spans="1:9" x14ac:dyDescent="0.2">
      <c r="A647">
        <v>644</v>
      </c>
      <c r="B647" s="30">
        <f t="shared" ca="1" si="80"/>
        <v>0.2746786307575948</v>
      </c>
      <c r="C647" t="b">
        <f t="shared" ca="1" si="81"/>
        <v>1</v>
      </c>
      <c r="D647">
        <f t="shared" ca="1" si="82"/>
        <v>28</v>
      </c>
      <c r="E647">
        <f t="shared" ca="1" si="83"/>
        <v>28</v>
      </c>
      <c r="F647" s="26">
        <f t="shared" ca="1" si="84"/>
        <v>4559.4583134547074</v>
      </c>
      <c r="G647" s="26">
        <f t="shared" ca="1" si="85"/>
        <v>4542.3623960292534</v>
      </c>
      <c r="H647" t="str">
        <f t="shared" ca="1" si="86"/>
        <v>Reactive</v>
      </c>
      <c r="I647" s="26">
        <f t="shared" ca="1" si="87"/>
        <v>17.09591742545399</v>
      </c>
    </row>
    <row r="648" spans="1:9" x14ac:dyDescent="0.2">
      <c r="A648">
        <v>645</v>
      </c>
      <c r="B648" s="30">
        <f t="shared" ca="1" si="80"/>
        <v>0.12582826245540513</v>
      </c>
      <c r="C648" t="b">
        <f t="shared" ca="1" si="81"/>
        <v>1</v>
      </c>
      <c r="D648">
        <f t="shared" ca="1" si="82"/>
        <v>30</v>
      </c>
      <c r="E648">
        <f t="shared" ca="1" si="83"/>
        <v>30</v>
      </c>
      <c r="F648" s="26">
        <f t="shared" ca="1" si="84"/>
        <v>4559.9406923358574</v>
      </c>
      <c r="G648" s="26">
        <f t="shared" ca="1" si="85"/>
        <v>4541.0930869201766</v>
      </c>
      <c r="H648" t="str">
        <f t="shared" ca="1" si="86"/>
        <v>Reactive</v>
      </c>
      <c r="I648" s="26">
        <f t="shared" ca="1" si="87"/>
        <v>18.847605415680846</v>
      </c>
    </row>
    <row r="649" spans="1:9" x14ac:dyDescent="0.2">
      <c r="A649">
        <v>646</v>
      </c>
      <c r="B649" s="30">
        <f t="shared" ca="1" si="80"/>
        <v>0.50092112702468472</v>
      </c>
      <c r="C649" t="b">
        <f t="shared" ca="1" si="81"/>
        <v>0</v>
      </c>
      <c r="D649">
        <f t="shared" ca="1" si="82"/>
        <v>27</v>
      </c>
      <c r="E649">
        <f t="shared" ca="1" si="83"/>
        <v>30</v>
      </c>
      <c r="F649" s="26">
        <f t="shared" ca="1" si="84"/>
        <v>4558.2048505187504</v>
      </c>
      <c r="G649" s="26">
        <f t="shared" ca="1" si="85"/>
        <v>4561.9664640555748</v>
      </c>
      <c r="H649" t="str">
        <f t="shared" ca="1" si="86"/>
        <v>Static</v>
      </c>
      <c r="I649" s="26">
        <f t="shared" ca="1" si="87"/>
        <v>-3.7616135368243704</v>
      </c>
    </row>
    <row r="650" spans="1:9" x14ac:dyDescent="0.2">
      <c r="A650">
        <v>647</v>
      </c>
      <c r="B650" s="30">
        <f t="shared" ca="1" si="80"/>
        <v>3.5851681011336289E-2</v>
      </c>
      <c r="C650" t="b">
        <f t="shared" ca="1" si="81"/>
        <v>1</v>
      </c>
      <c r="D650">
        <f t="shared" ca="1" si="82"/>
        <v>27</v>
      </c>
      <c r="E650">
        <f t="shared" ca="1" si="83"/>
        <v>27</v>
      </c>
      <c r="F650" s="26">
        <f t="shared" ca="1" si="84"/>
        <v>4557.3151630228758</v>
      </c>
      <c r="G650" s="26">
        <f t="shared" ca="1" si="85"/>
        <v>4543.736294459869</v>
      </c>
      <c r="H650" t="str">
        <f t="shared" ca="1" si="86"/>
        <v>Reactive</v>
      </c>
      <c r="I650" s="26">
        <f t="shared" ca="1" si="87"/>
        <v>13.578868563006836</v>
      </c>
    </row>
    <row r="651" spans="1:9" x14ac:dyDescent="0.2">
      <c r="A651">
        <v>648</v>
      </c>
      <c r="B651" s="30">
        <f t="shared" ca="1" si="80"/>
        <v>0.40565496427861314</v>
      </c>
      <c r="C651" t="b">
        <f t="shared" ca="1" si="81"/>
        <v>0</v>
      </c>
      <c r="D651">
        <f t="shared" ca="1" si="82"/>
        <v>28</v>
      </c>
      <c r="E651">
        <f t="shared" ca="1" si="83"/>
        <v>30</v>
      </c>
      <c r="F651" s="26">
        <f t="shared" ca="1" si="84"/>
        <v>4559.7034790663347</v>
      </c>
      <c r="G651" s="26">
        <f t="shared" ca="1" si="85"/>
        <v>4561.0800232272595</v>
      </c>
      <c r="H651" t="str">
        <f t="shared" ca="1" si="86"/>
        <v>Static</v>
      </c>
      <c r="I651" s="26">
        <f t="shared" ca="1" si="87"/>
        <v>-1.3765441609248228</v>
      </c>
    </row>
    <row r="652" spans="1:9" x14ac:dyDescent="0.2">
      <c r="A652">
        <v>649</v>
      </c>
      <c r="B652" s="30">
        <f t="shared" ca="1" si="80"/>
        <v>2.2872731212779551E-2</v>
      </c>
      <c r="C652" t="b">
        <f t="shared" ca="1" si="81"/>
        <v>1</v>
      </c>
      <c r="D652">
        <f t="shared" ca="1" si="82"/>
        <v>28</v>
      </c>
      <c r="E652">
        <f t="shared" ca="1" si="83"/>
        <v>28</v>
      </c>
      <c r="F652" s="26">
        <f t="shared" ca="1" si="84"/>
        <v>4557.2862182316549</v>
      </c>
      <c r="G652" s="26">
        <f t="shared" ca="1" si="85"/>
        <v>4540.7239648694631</v>
      </c>
      <c r="H652" t="str">
        <f t="shared" ca="1" si="86"/>
        <v>Reactive</v>
      </c>
      <c r="I652" s="26">
        <f t="shared" ca="1" si="87"/>
        <v>16.562253362191768</v>
      </c>
    </row>
    <row r="653" spans="1:9" x14ac:dyDescent="0.2">
      <c r="A653">
        <v>650</v>
      </c>
      <c r="B653" s="30">
        <f t="shared" ca="1" si="80"/>
        <v>0.90173754078604185</v>
      </c>
      <c r="C653" t="b">
        <f t="shared" ca="1" si="81"/>
        <v>0</v>
      </c>
      <c r="D653">
        <f t="shared" ca="1" si="82"/>
        <v>30</v>
      </c>
      <c r="E653">
        <f t="shared" ca="1" si="83"/>
        <v>30</v>
      </c>
      <c r="F653" s="26">
        <f t="shared" ca="1" si="84"/>
        <v>4559.2126407688884</v>
      </c>
      <c r="G653" s="26">
        <f t="shared" ca="1" si="85"/>
        <v>4559.6151400208182</v>
      </c>
      <c r="H653" t="str">
        <f t="shared" ca="1" si="86"/>
        <v>Static</v>
      </c>
      <c r="I653" s="26">
        <f t="shared" ca="1" si="87"/>
        <v>-0.40249925192983937</v>
      </c>
    </row>
    <row r="654" spans="1:9" x14ac:dyDescent="0.2">
      <c r="A654">
        <v>651</v>
      </c>
      <c r="B654" s="30">
        <f t="shared" ca="1" si="80"/>
        <v>0.64670190433938923</v>
      </c>
      <c r="C654" t="b">
        <f t="shared" ca="1" si="81"/>
        <v>0</v>
      </c>
      <c r="D654">
        <f t="shared" ca="1" si="82"/>
        <v>29</v>
      </c>
      <c r="E654">
        <f t="shared" ca="1" si="83"/>
        <v>30</v>
      </c>
      <c r="F654" s="26">
        <f t="shared" ca="1" si="84"/>
        <v>4559.9201765724792</v>
      </c>
      <c r="G654" s="26">
        <f t="shared" ca="1" si="85"/>
        <v>4559.6377447826217</v>
      </c>
      <c r="H654" t="str">
        <f t="shared" ca="1" si="86"/>
        <v>Reactive</v>
      </c>
      <c r="I654" s="26">
        <f t="shared" ca="1" si="87"/>
        <v>0.28243178985758277</v>
      </c>
    </row>
    <row r="655" spans="1:9" x14ac:dyDescent="0.2">
      <c r="A655">
        <v>652</v>
      </c>
      <c r="B655" s="30">
        <f t="shared" ca="1" si="80"/>
        <v>0.95725913413271524</v>
      </c>
      <c r="C655" t="b">
        <f t="shared" ca="1" si="81"/>
        <v>0</v>
      </c>
      <c r="D655">
        <f t="shared" ca="1" si="82"/>
        <v>28</v>
      </c>
      <c r="E655">
        <f t="shared" ca="1" si="83"/>
        <v>30</v>
      </c>
      <c r="F655" s="26">
        <f t="shared" ca="1" si="84"/>
        <v>4559.1238312445957</v>
      </c>
      <c r="G655" s="26">
        <f t="shared" ca="1" si="85"/>
        <v>4560.6820023861928</v>
      </c>
      <c r="H655" t="str">
        <f t="shared" ca="1" si="86"/>
        <v>Static</v>
      </c>
      <c r="I655" s="26">
        <f t="shared" ca="1" si="87"/>
        <v>-1.5581711415970858</v>
      </c>
    </row>
    <row r="656" spans="1:9" x14ac:dyDescent="0.2">
      <c r="A656">
        <v>653</v>
      </c>
      <c r="B656" s="30">
        <f t="shared" ca="1" si="80"/>
        <v>0.31707659081535267</v>
      </c>
      <c r="C656" t="b">
        <f t="shared" ca="1" si="81"/>
        <v>1</v>
      </c>
      <c r="D656">
        <f t="shared" ca="1" si="82"/>
        <v>27</v>
      </c>
      <c r="E656">
        <f t="shared" ca="1" si="83"/>
        <v>27</v>
      </c>
      <c r="F656" s="26">
        <f t="shared" ca="1" si="84"/>
        <v>4558.5037255858888</v>
      </c>
      <c r="G656" s="26">
        <f t="shared" ca="1" si="85"/>
        <v>4542.3123538812915</v>
      </c>
      <c r="H656" t="str">
        <f t="shared" ca="1" si="86"/>
        <v>Reactive</v>
      </c>
      <c r="I656" s="26">
        <f t="shared" ca="1" si="87"/>
        <v>16.191371704597259</v>
      </c>
    </row>
    <row r="657" spans="1:9" x14ac:dyDescent="0.2">
      <c r="A657">
        <v>654</v>
      </c>
      <c r="B657" s="30">
        <f t="shared" ca="1" si="80"/>
        <v>0.79126852837959938</v>
      </c>
      <c r="C657" t="b">
        <f t="shared" ca="1" si="81"/>
        <v>0</v>
      </c>
      <c r="D657">
        <f t="shared" ca="1" si="82"/>
        <v>29</v>
      </c>
      <c r="E657">
        <f t="shared" ca="1" si="83"/>
        <v>30</v>
      </c>
      <c r="F657" s="26">
        <f t="shared" ca="1" si="84"/>
        <v>4556.9783987488163</v>
      </c>
      <c r="G657" s="26">
        <f t="shared" ca="1" si="85"/>
        <v>4561.1945269404368</v>
      </c>
      <c r="H657" t="str">
        <f t="shared" ca="1" si="86"/>
        <v>Static</v>
      </c>
      <c r="I657" s="26">
        <f t="shared" ca="1" si="87"/>
        <v>-4.2161281916205553</v>
      </c>
    </row>
    <row r="658" spans="1:9" x14ac:dyDescent="0.2">
      <c r="A658">
        <v>655</v>
      </c>
      <c r="B658" s="30">
        <f t="shared" ca="1" si="80"/>
        <v>0.14470932949462001</v>
      </c>
      <c r="C658" t="b">
        <f t="shared" ca="1" si="81"/>
        <v>1</v>
      </c>
      <c r="D658">
        <f t="shared" ca="1" si="82"/>
        <v>28</v>
      </c>
      <c r="E658">
        <f t="shared" ca="1" si="83"/>
        <v>28</v>
      </c>
      <c r="F658" s="26">
        <f t="shared" ca="1" si="84"/>
        <v>4560.8179555109009</v>
      </c>
      <c r="G658" s="26">
        <f t="shared" ca="1" si="85"/>
        <v>4543.5525875420635</v>
      </c>
      <c r="H658" t="str">
        <f t="shared" ca="1" si="86"/>
        <v>Reactive</v>
      </c>
      <c r="I658" s="26">
        <f t="shared" ca="1" si="87"/>
        <v>17.265367968837381</v>
      </c>
    </row>
    <row r="659" spans="1:9" x14ac:dyDescent="0.2">
      <c r="A659">
        <v>656</v>
      </c>
      <c r="B659" s="30">
        <f t="shared" ca="1" si="80"/>
        <v>0.80006069055738971</v>
      </c>
      <c r="C659" t="b">
        <f t="shared" ca="1" si="81"/>
        <v>0</v>
      </c>
      <c r="D659">
        <f t="shared" ca="1" si="82"/>
        <v>30</v>
      </c>
      <c r="E659">
        <f t="shared" ca="1" si="83"/>
        <v>30</v>
      </c>
      <c r="F659" s="26">
        <f t="shared" ca="1" si="84"/>
        <v>4558.4803724766671</v>
      </c>
      <c r="G659" s="26">
        <f t="shared" ca="1" si="85"/>
        <v>4561.1266757490048</v>
      </c>
      <c r="H659" t="str">
        <f t="shared" ca="1" si="86"/>
        <v>Static</v>
      </c>
      <c r="I659" s="26">
        <f t="shared" ca="1" si="87"/>
        <v>-2.6463032723377182</v>
      </c>
    </row>
    <row r="660" spans="1:9" x14ac:dyDescent="0.2">
      <c r="A660">
        <v>657</v>
      </c>
      <c r="B660" s="30">
        <f t="shared" ca="1" si="80"/>
        <v>0.50816481849172113</v>
      </c>
      <c r="C660" t="b">
        <f t="shared" ca="1" si="81"/>
        <v>0</v>
      </c>
      <c r="D660">
        <f t="shared" ca="1" si="82"/>
        <v>28</v>
      </c>
      <c r="E660">
        <f t="shared" ca="1" si="83"/>
        <v>30</v>
      </c>
      <c r="F660" s="26">
        <f t="shared" ca="1" si="84"/>
        <v>4559.8367791332066</v>
      </c>
      <c r="G660" s="26">
        <f t="shared" ca="1" si="85"/>
        <v>4561.4732133017351</v>
      </c>
      <c r="H660" t="str">
        <f t="shared" ca="1" si="86"/>
        <v>Static</v>
      </c>
      <c r="I660" s="26">
        <f t="shared" ca="1" si="87"/>
        <v>-1.6364341685284671</v>
      </c>
    </row>
    <row r="661" spans="1:9" x14ac:dyDescent="0.2">
      <c r="A661">
        <v>658</v>
      </c>
      <c r="B661" s="30">
        <f t="shared" ca="1" si="80"/>
        <v>0.61603211595818708</v>
      </c>
      <c r="C661" t="b">
        <f t="shared" ca="1" si="81"/>
        <v>0</v>
      </c>
      <c r="D661">
        <f t="shared" ca="1" si="82"/>
        <v>28</v>
      </c>
      <c r="E661">
        <f t="shared" ca="1" si="83"/>
        <v>30</v>
      </c>
      <c r="F661" s="26">
        <f t="shared" ca="1" si="84"/>
        <v>4558.5968424189632</v>
      </c>
      <c r="G661" s="26">
        <f t="shared" ca="1" si="85"/>
        <v>4561.2016773741698</v>
      </c>
      <c r="H661" t="str">
        <f t="shared" ca="1" si="86"/>
        <v>Static</v>
      </c>
      <c r="I661" s="26">
        <f t="shared" ca="1" si="87"/>
        <v>-2.6048349552065702</v>
      </c>
    </row>
    <row r="662" spans="1:9" x14ac:dyDescent="0.2">
      <c r="A662">
        <v>659</v>
      </c>
      <c r="B662" s="30">
        <f t="shared" ca="1" si="80"/>
        <v>0.42515186491642087</v>
      </c>
      <c r="C662" t="b">
        <f t="shared" ca="1" si="81"/>
        <v>0</v>
      </c>
      <c r="D662">
        <f t="shared" ca="1" si="82"/>
        <v>30</v>
      </c>
      <c r="E662">
        <f t="shared" ca="1" si="83"/>
        <v>30</v>
      </c>
      <c r="F662" s="26">
        <f t="shared" ca="1" si="84"/>
        <v>4557.5319914256379</v>
      </c>
      <c r="G662" s="26">
        <f t="shared" ca="1" si="85"/>
        <v>4559.1852699003757</v>
      </c>
      <c r="H662" t="str">
        <f t="shared" ca="1" si="86"/>
        <v>Static</v>
      </c>
      <c r="I662" s="26">
        <f t="shared" ca="1" si="87"/>
        <v>-1.6532784747378173</v>
      </c>
    </row>
    <row r="663" spans="1:9" x14ac:dyDescent="0.2">
      <c r="A663">
        <v>660</v>
      </c>
      <c r="B663" s="30">
        <f t="shared" ca="1" si="80"/>
        <v>0.3453692137240616</v>
      </c>
      <c r="C663" t="b">
        <f t="shared" ca="1" si="81"/>
        <v>1</v>
      </c>
      <c r="D663">
        <f t="shared" ca="1" si="82"/>
        <v>28</v>
      </c>
      <c r="E663">
        <f t="shared" ca="1" si="83"/>
        <v>28</v>
      </c>
      <c r="F663" s="26">
        <f t="shared" ca="1" si="84"/>
        <v>4559.5455922586325</v>
      </c>
      <c r="G663" s="26">
        <f t="shared" ca="1" si="85"/>
        <v>4542.7054754852024</v>
      </c>
      <c r="H663" t="str">
        <f t="shared" ca="1" si="86"/>
        <v>Reactive</v>
      </c>
      <c r="I663" s="26">
        <f t="shared" ca="1" si="87"/>
        <v>16.840116773430054</v>
      </c>
    </row>
    <row r="664" spans="1:9" x14ac:dyDescent="0.2">
      <c r="A664">
        <v>661</v>
      </c>
      <c r="B664" s="30">
        <f t="shared" ca="1" si="80"/>
        <v>0.46220113187394829</v>
      </c>
      <c r="C664" t="b">
        <f t="shared" ca="1" si="81"/>
        <v>0</v>
      </c>
      <c r="D664">
        <f t="shared" ca="1" si="82"/>
        <v>27</v>
      </c>
      <c r="E664">
        <f t="shared" ca="1" si="83"/>
        <v>30</v>
      </c>
      <c r="F664" s="26">
        <f t="shared" ca="1" si="84"/>
        <v>4557.7021549748179</v>
      </c>
      <c r="G664" s="26">
        <f t="shared" ca="1" si="85"/>
        <v>4561.0321526840908</v>
      </c>
      <c r="H664" t="str">
        <f t="shared" ca="1" si="86"/>
        <v>Static</v>
      </c>
      <c r="I664" s="26">
        <f t="shared" ca="1" si="87"/>
        <v>-3.3299977092729023</v>
      </c>
    </row>
    <row r="665" spans="1:9" x14ac:dyDescent="0.2">
      <c r="A665">
        <v>662</v>
      </c>
      <c r="B665" s="30">
        <f t="shared" ca="1" si="80"/>
        <v>0.11543901205834073</v>
      </c>
      <c r="C665" t="b">
        <f t="shared" ca="1" si="81"/>
        <v>1</v>
      </c>
      <c r="D665">
        <f t="shared" ca="1" si="82"/>
        <v>26</v>
      </c>
      <c r="E665">
        <f t="shared" ca="1" si="83"/>
        <v>26</v>
      </c>
      <c r="F665" s="26">
        <f t="shared" ca="1" si="84"/>
        <v>4557.8274664858063</v>
      </c>
      <c r="G665" s="26">
        <f t="shared" ca="1" si="85"/>
        <v>4541.3269792383062</v>
      </c>
      <c r="H665" t="str">
        <f t="shared" ca="1" si="86"/>
        <v>Reactive</v>
      </c>
      <c r="I665" s="26">
        <f t="shared" ca="1" si="87"/>
        <v>16.500487247500132</v>
      </c>
    </row>
    <row r="666" spans="1:9" x14ac:dyDescent="0.2">
      <c r="A666">
        <v>663</v>
      </c>
      <c r="B666" s="30">
        <f t="shared" ca="1" si="80"/>
        <v>0.77808601534396826</v>
      </c>
      <c r="C666" t="b">
        <f t="shared" ca="1" si="81"/>
        <v>0</v>
      </c>
      <c r="D666">
        <f t="shared" ca="1" si="82"/>
        <v>28</v>
      </c>
      <c r="E666">
        <f t="shared" ca="1" si="83"/>
        <v>30</v>
      </c>
      <c r="F666" s="26">
        <f t="shared" ca="1" si="84"/>
        <v>4559.650235601197</v>
      </c>
      <c r="G666" s="26">
        <f t="shared" ca="1" si="85"/>
        <v>4560.811448959048</v>
      </c>
      <c r="H666" t="str">
        <f t="shared" ca="1" si="86"/>
        <v>Static</v>
      </c>
      <c r="I666" s="26">
        <f t="shared" ca="1" si="87"/>
        <v>-1.1612133578510111</v>
      </c>
    </row>
    <row r="667" spans="1:9" x14ac:dyDescent="0.2">
      <c r="A667">
        <v>664</v>
      </c>
      <c r="B667" s="30">
        <f t="shared" ca="1" si="80"/>
        <v>0.41119926137621754</v>
      </c>
      <c r="C667" t="b">
        <f t="shared" ca="1" si="81"/>
        <v>0</v>
      </c>
      <c r="D667">
        <f t="shared" ca="1" si="82"/>
        <v>30</v>
      </c>
      <c r="E667">
        <f t="shared" ca="1" si="83"/>
        <v>30</v>
      </c>
      <c r="F667" s="26">
        <f t="shared" ca="1" si="84"/>
        <v>4559.7827028924985</v>
      </c>
      <c r="G667" s="26">
        <f t="shared" ca="1" si="85"/>
        <v>4559.0901660025029</v>
      </c>
      <c r="H667" t="str">
        <f t="shared" ca="1" si="86"/>
        <v>Reactive</v>
      </c>
      <c r="I667" s="26">
        <f t="shared" ca="1" si="87"/>
        <v>0.69253688999560836</v>
      </c>
    </row>
    <row r="668" spans="1:9" x14ac:dyDescent="0.2">
      <c r="A668">
        <v>665</v>
      </c>
      <c r="B668" s="30">
        <f t="shared" ca="1" si="80"/>
        <v>0.2231379768174071</v>
      </c>
      <c r="C668" t="b">
        <f t="shared" ca="1" si="81"/>
        <v>1</v>
      </c>
      <c r="D668">
        <f t="shared" ca="1" si="82"/>
        <v>30</v>
      </c>
      <c r="E668">
        <f t="shared" ca="1" si="83"/>
        <v>30</v>
      </c>
      <c r="F668" s="26">
        <f t="shared" ca="1" si="84"/>
        <v>4556.6630573902903</v>
      </c>
      <c r="G668" s="26">
        <f t="shared" ca="1" si="85"/>
        <v>4543.6083739190744</v>
      </c>
      <c r="H668" t="str">
        <f t="shared" ca="1" si="86"/>
        <v>Reactive</v>
      </c>
      <c r="I668" s="26">
        <f t="shared" ca="1" si="87"/>
        <v>13.054683471215867</v>
      </c>
    </row>
    <row r="669" spans="1:9" x14ac:dyDescent="0.2">
      <c r="A669">
        <v>666</v>
      </c>
      <c r="B669" s="30">
        <f t="shared" ca="1" si="80"/>
        <v>0.3442294163607369</v>
      </c>
      <c r="C669" t="b">
        <f t="shared" ca="1" si="81"/>
        <v>1</v>
      </c>
      <c r="D669">
        <f t="shared" ca="1" si="82"/>
        <v>26</v>
      </c>
      <c r="E669">
        <f t="shared" ca="1" si="83"/>
        <v>26</v>
      </c>
      <c r="F669" s="26">
        <f t="shared" ca="1" si="84"/>
        <v>4559.4016659229746</v>
      </c>
      <c r="G669" s="26">
        <f t="shared" ca="1" si="85"/>
        <v>4541.1182191639073</v>
      </c>
      <c r="H669" t="str">
        <f t="shared" ca="1" si="86"/>
        <v>Reactive</v>
      </c>
      <c r="I669" s="26">
        <f t="shared" ca="1" si="87"/>
        <v>18.283446759067374</v>
      </c>
    </row>
    <row r="670" spans="1:9" x14ac:dyDescent="0.2">
      <c r="A670">
        <v>667</v>
      </c>
      <c r="B670" s="30">
        <f t="shared" ca="1" si="80"/>
        <v>0.61388142682714375</v>
      </c>
      <c r="C670" t="b">
        <f t="shared" ca="1" si="81"/>
        <v>0</v>
      </c>
      <c r="D670">
        <f t="shared" ca="1" si="82"/>
        <v>27</v>
      </c>
      <c r="E670">
        <f t="shared" ca="1" si="83"/>
        <v>30</v>
      </c>
      <c r="F670" s="26">
        <f t="shared" ca="1" si="84"/>
        <v>4559.2297455591124</v>
      </c>
      <c r="G670" s="26">
        <f t="shared" ca="1" si="85"/>
        <v>4560.8419114206381</v>
      </c>
      <c r="H670" t="str">
        <f t="shared" ca="1" si="86"/>
        <v>Static</v>
      </c>
      <c r="I670" s="26">
        <f t="shared" ca="1" si="87"/>
        <v>-1.612165861525682</v>
      </c>
    </row>
    <row r="671" spans="1:9" x14ac:dyDescent="0.2">
      <c r="A671">
        <v>668</v>
      </c>
      <c r="B671" s="30">
        <f t="shared" ca="1" si="80"/>
        <v>0.90098448219264682</v>
      </c>
      <c r="C671" t="b">
        <f t="shared" ca="1" si="81"/>
        <v>0</v>
      </c>
      <c r="D671">
        <f t="shared" ca="1" si="82"/>
        <v>28</v>
      </c>
      <c r="E671">
        <f t="shared" ca="1" si="83"/>
        <v>30</v>
      </c>
      <c r="F671" s="26">
        <f t="shared" ca="1" si="84"/>
        <v>4559.338424565537</v>
      </c>
      <c r="G671" s="26">
        <f t="shared" ca="1" si="85"/>
        <v>4560.7703486239679</v>
      </c>
      <c r="H671" t="str">
        <f t="shared" ca="1" si="86"/>
        <v>Static</v>
      </c>
      <c r="I671" s="26">
        <f t="shared" ca="1" si="87"/>
        <v>-1.4319240584309227</v>
      </c>
    </row>
    <row r="672" spans="1:9" x14ac:dyDescent="0.2">
      <c r="A672">
        <v>669</v>
      </c>
      <c r="B672" s="30">
        <f t="shared" ca="1" si="80"/>
        <v>0.84057284824655942</v>
      </c>
      <c r="C672" t="b">
        <f t="shared" ca="1" si="81"/>
        <v>0</v>
      </c>
      <c r="D672">
        <f t="shared" ca="1" si="82"/>
        <v>30</v>
      </c>
      <c r="E672">
        <f t="shared" ca="1" si="83"/>
        <v>30</v>
      </c>
      <c r="F672" s="26">
        <f t="shared" ca="1" si="84"/>
        <v>4558.9808445603485</v>
      </c>
      <c r="G672" s="26">
        <f t="shared" ca="1" si="85"/>
        <v>4561.8615123508553</v>
      </c>
      <c r="H672" t="str">
        <f t="shared" ca="1" si="86"/>
        <v>Static</v>
      </c>
      <c r="I672" s="26">
        <f t="shared" ca="1" si="87"/>
        <v>-2.8806677905067772</v>
      </c>
    </row>
    <row r="673" spans="1:9" x14ac:dyDescent="0.2">
      <c r="A673">
        <v>670</v>
      </c>
      <c r="B673" s="30">
        <f t="shared" ca="1" si="80"/>
        <v>4.2216474381881919E-2</v>
      </c>
      <c r="C673" t="b">
        <f t="shared" ca="1" si="81"/>
        <v>1</v>
      </c>
      <c r="D673">
        <f t="shared" ca="1" si="82"/>
        <v>29</v>
      </c>
      <c r="E673">
        <f t="shared" ca="1" si="83"/>
        <v>29</v>
      </c>
      <c r="F673" s="26">
        <f t="shared" ca="1" si="84"/>
        <v>4558.0743238306532</v>
      </c>
      <c r="G673" s="26">
        <f t="shared" ca="1" si="85"/>
        <v>4543.2095252216568</v>
      </c>
      <c r="H673" t="str">
        <f t="shared" ca="1" si="86"/>
        <v>Reactive</v>
      </c>
      <c r="I673" s="26">
        <f t="shared" ca="1" si="87"/>
        <v>14.864798608996352</v>
      </c>
    </row>
    <row r="674" spans="1:9" x14ac:dyDescent="0.2">
      <c r="A674">
        <v>671</v>
      </c>
      <c r="B674" s="30">
        <f t="shared" ca="1" si="80"/>
        <v>7.7098304065146284E-3</v>
      </c>
      <c r="C674" t="b">
        <f t="shared" ca="1" si="81"/>
        <v>1</v>
      </c>
      <c r="D674">
        <f t="shared" ca="1" si="82"/>
        <v>26</v>
      </c>
      <c r="E674">
        <f t="shared" ca="1" si="83"/>
        <v>26</v>
      </c>
      <c r="F674" s="26">
        <f t="shared" ca="1" si="84"/>
        <v>4559.7690485388139</v>
      </c>
      <c r="G674" s="26">
        <f t="shared" ca="1" si="85"/>
        <v>4543.6372084974182</v>
      </c>
      <c r="H674" t="str">
        <f t="shared" ca="1" si="86"/>
        <v>Reactive</v>
      </c>
      <c r="I674" s="26">
        <f t="shared" ca="1" si="87"/>
        <v>16.131840041395662</v>
      </c>
    </row>
    <row r="675" spans="1:9" x14ac:dyDescent="0.2">
      <c r="A675">
        <v>672</v>
      </c>
      <c r="B675" s="30">
        <f t="shared" ca="1" si="80"/>
        <v>0.98285345445161931</v>
      </c>
      <c r="C675" t="b">
        <f t="shared" ca="1" si="81"/>
        <v>0</v>
      </c>
      <c r="D675">
        <f t="shared" ca="1" si="82"/>
        <v>27</v>
      </c>
      <c r="E675">
        <f t="shared" ca="1" si="83"/>
        <v>30</v>
      </c>
      <c r="F675" s="26">
        <f t="shared" ca="1" si="84"/>
        <v>4558.1760380518635</v>
      </c>
      <c r="G675" s="26">
        <f t="shared" ca="1" si="85"/>
        <v>4558.9867975158959</v>
      </c>
      <c r="H675" t="str">
        <f t="shared" ca="1" si="86"/>
        <v>Static</v>
      </c>
      <c r="I675" s="26">
        <f t="shared" ca="1" si="87"/>
        <v>-0.81075946403234411</v>
      </c>
    </row>
    <row r="676" spans="1:9" x14ac:dyDescent="0.2">
      <c r="A676">
        <v>673</v>
      </c>
      <c r="B676" s="30">
        <f t="shared" ca="1" si="80"/>
        <v>0.19221662411839358</v>
      </c>
      <c r="C676" t="b">
        <f t="shared" ca="1" si="81"/>
        <v>1</v>
      </c>
      <c r="D676">
        <f t="shared" ca="1" si="82"/>
        <v>26</v>
      </c>
      <c r="E676">
        <f t="shared" ca="1" si="83"/>
        <v>26</v>
      </c>
      <c r="F676" s="26">
        <f t="shared" ca="1" si="84"/>
        <v>4558.81677603356</v>
      </c>
      <c r="G676" s="26">
        <f t="shared" ca="1" si="85"/>
        <v>4542.6931294502101</v>
      </c>
      <c r="H676" t="str">
        <f t="shared" ca="1" si="86"/>
        <v>Reactive</v>
      </c>
      <c r="I676" s="26">
        <f t="shared" ca="1" si="87"/>
        <v>16.12364658334991</v>
      </c>
    </row>
    <row r="677" spans="1:9" x14ac:dyDescent="0.2">
      <c r="A677">
        <v>674</v>
      </c>
      <c r="B677" s="30">
        <f t="shared" ca="1" si="80"/>
        <v>0.81405261711401178</v>
      </c>
      <c r="C677" t="b">
        <f t="shared" ca="1" si="81"/>
        <v>0</v>
      </c>
      <c r="D677">
        <f t="shared" ca="1" si="82"/>
        <v>27</v>
      </c>
      <c r="E677">
        <f t="shared" ca="1" si="83"/>
        <v>30</v>
      </c>
      <c r="F677" s="26">
        <f t="shared" ca="1" si="84"/>
        <v>4558.5766378725948</v>
      </c>
      <c r="G677" s="26">
        <f t="shared" ca="1" si="85"/>
        <v>4561.009118184108</v>
      </c>
      <c r="H677" t="str">
        <f t="shared" ca="1" si="86"/>
        <v>Static</v>
      </c>
      <c r="I677" s="26">
        <f t="shared" ca="1" si="87"/>
        <v>-2.4324803115132454</v>
      </c>
    </row>
    <row r="678" spans="1:9" x14ac:dyDescent="0.2">
      <c r="A678">
        <v>675</v>
      </c>
      <c r="B678" s="30">
        <f t="shared" ca="1" si="80"/>
        <v>0.2790763790705586</v>
      </c>
      <c r="C678" t="b">
        <f t="shared" ca="1" si="81"/>
        <v>1</v>
      </c>
      <c r="D678">
        <f t="shared" ca="1" si="82"/>
        <v>29</v>
      </c>
      <c r="E678">
        <f t="shared" ca="1" si="83"/>
        <v>29</v>
      </c>
      <c r="F678" s="26">
        <f t="shared" ca="1" si="84"/>
        <v>4559.3428805787162</v>
      </c>
      <c r="G678" s="26">
        <f t="shared" ca="1" si="85"/>
        <v>4544.2068690601282</v>
      </c>
      <c r="H678" t="str">
        <f t="shared" ca="1" si="86"/>
        <v>Reactive</v>
      </c>
      <c r="I678" s="26">
        <f t="shared" ca="1" si="87"/>
        <v>15.13601151858802</v>
      </c>
    </row>
    <row r="679" spans="1:9" x14ac:dyDescent="0.2">
      <c r="A679">
        <v>676</v>
      </c>
      <c r="B679" s="30">
        <f t="shared" ca="1" si="80"/>
        <v>1.6120657486869638E-2</v>
      </c>
      <c r="C679" t="b">
        <f t="shared" ca="1" si="81"/>
        <v>1</v>
      </c>
      <c r="D679">
        <f t="shared" ca="1" si="82"/>
        <v>26</v>
      </c>
      <c r="E679">
        <f t="shared" ca="1" si="83"/>
        <v>26</v>
      </c>
      <c r="F679" s="26">
        <f t="shared" ca="1" si="84"/>
        <v>4560.5178360432265</v>
      </c>
      <c r="G679" s="26">
        <f t="shared" ca="1" si="85"/>
        <v>4542.627243898869</v>
      </c>
      <c r="H679" t="str">
        <f t="shared" ca="1" si="86"/>
        <v>Reactive</v>
      </c>
      <c r="I679" s="26">
        <f t="shared" ca="1" si="87"/>
        <v>17.89059214435747</v>
      </c>
    </row>
    <row r="680" spans="1:9" x14ac:dyDescent="0.2">
      <c r="A680">
        <v>677</v>
      </c>
      <c r="B680" s="30">
        <f t="shared" ca="1" si="80"/>
        <v>0.90529272005021888</v>
      </c>
      <c r="C680" t="b">
        <f t="shared" ca="1" si="81"/>
        <v>0</v>
      </c>
      <c r="D680">
        <f t="shared" ca="1" si="82"/>
        <v>27</v>
      </c>
      <c r="E680">
        <f t="shared" ca="1" si="83"/>
        <v>30</v>
      </c>
      <c r="F680" s="26">
        <f t="shared" ca="1" si="84"/>
        <v>4558.9280240952048</v>
      </c>
      <c r="G680" s="26">
        <f t="shared" ca="1" si="85"/>
        <v>4558.5425693458401</v>
      </c>
      <c r="H680" t="str">
        <f t="shared" ca="1" si="86"/>
        <v>Reactive</v>
      </c>
      <c r="I680" s="26">
        <f t="shared" ca="1" si="87"/>
        <v>0.38545474936472601</v>
      </c>
    </row>
    <row r="681" spans="1:9" x14ac:dyDescent="0.2">
      <c r="A681">
        <v>678</v>
      </c>
      <c r="B681" s="30">
        <f t="shared" ca="1" si="80"/>
        <v>0.23035920550467781</v>
      </c>
      <c r="C681" t="b">
        <f t="shared" ca="1" si="81"/>
        <v>1</v>
      </c>
      <c r="D681">
        <f t="shared" ca="1" si="82"/>
        <v>30</v>
      </c>
      <c r="E681">
        <f t="shared" ca="1" si="83"/>
        <v>30</v>
      </c>
      <c r="F681" s="26">
        <f t="shared" ca="1" si="84"/>
        <v>4558.3523519791752</v>
      </c>
      <c r="G681" s="26">
        <f t="shared" ca="1" si="85"/>
        <v>4543.4213395403258</v>
      </c>
      <c r="H681" t="str">
        <f t="shared" ca="1" si="86"/>
        <v>Reactive</v>
      </c>
      <c r="I681" s="26">
        <f t="shared" ca="1" si="87"/>
        <v>14.931012438849393</v>
      </c>
    </row>
    <row r="682" spans="1:9" x14ac:dyDescent="0.2">
      <c r="A682">
        <v>679</v>
      </c>
      <c r="B682" s="30">
        <f t="shared" ca="1" si="80"/>
        <v>0.61979951521520005</v>
      </c>
      <c r="C682" t="b">
        <f t="shared" ca="1" si="81"/>
        <v>0</v>
      </c>
      <c r="D682">
        <f t="shared" ca="1" si="82"/>
        <v>29</v>
      </c>
      <c r="E682">
        <f t="shared" ca="1" si="83"/>
        <v>30</v>
      </c>
      <c r="F682" s="26">
        <f t="shared" ca="1" si="84"/>
        <v>4560.751092534505</v>
      </c>
      <c r="G682" s="26">
        <f t="shared" ca="1" si="85"/>
        <v>4559.3239002220853</v>
      </c>
      <c r="H682" t="str">
        <f t="shared" ca="1" si="86"/>
        <v>Reactive</v>
      </c>
      <c r="I682" s="26">
        <f t="shared" ca="1" si="87"/>
        <v>1.4271923124197201</v>
      </c>
    </row>
    <row r="683" spans="1:9" x14ac:dyDescent="0.2">
      <c r="A683">
        <v>680</v>
      </c>
      <c r="B683" s="30">
        <f t="shared" ca="1" si="80"/>
        <v>0.98509251096128647</v>
      </c>
      <c r="C683" t="b">
        <f t="shared" ca="1" si="81"/>
        <v>0</v>
      </c>
      <c r="D683">
        <f t="shared" ca="1" si="82"/>
        <v>30</v>
      </c>
      <c r="E683">
        <f t="shared" ca="1" si="83"/>
        <v>30</v>
      </c>
      <c r="F683" s="26">
        <f t="shared" ca="1" si="84"/>
        <v>4559.0297406960117</v>
      </c>
      <c r="G683" s="26">
        <f t="shared" ca="1" si="85"/>
        <v>4558.0033164190163</v>
      </c>
      <c r="H683" t="str">
        <f t="shared" ca="1" si="86"/>
        <v>Reactive</v>
      </c>
      <c r="I683" s="26">
        <f t="shared" ca="1" si="87"/>
        <v>1.0264242769953853</v>
      </c>
    </row>
    <row r="684" spans="1:9" x14ac:dyDescent="0.2">
      <c r="A684">
        <v>681</v>
      </c>
      <c r="B684" s="30">
        <f t="shared" ca="1" si="80"/>
        <v>0.94284001262888928</v>
      </c>
      <c r="C684" t="b">
        <f t="shared" ca="1" si="81"/>
        <v>0</v>
      </c>
      <c r="D684">
        <f t="shared" ca="1" si="82"/>
        <v>27</v>
      </c>
      <c r="E684">
        <f t="shared" ca="1" si="83"/>
        <v>30</v>
      </c>
      <c r="F684" s="26">
        <f t="shared" ca="1" si="84"/>
        <v>4560.1434844852092</v>
      </c>
      <c r="G684" s="26">
        <f t="shared" ca="1" si="85"/>
        <v>4561.2648263496721</v>
      </c>
      <c r="H684" t="str">
        <f t="shared" ca="1" si="86"/>
        <v>Static</v>
      </c>
      <c r="I684" s="26">
        <f t="shared" ca="1" si="87"/>
        <v>-1.1213418644629201</v>
      </c>
    </row>
    <row r="685" spans="1:9" x14ac:dyDescent="0.2">
      <c r="A685">
        <v>682</v>
      </c>
      <c r="B685" s="30">
        <f t="shared" ca="1" si="80"/>
        <v>0.94707803582287409</v>
      </c>
      <c r="C685" t="b">
        <f t="shared" ca="1" si="81"/>
        <v>0</v>
      </c>
      <c r="D685">
        <f t="shared" ca="1" si="82"/>
        <v>28</v>
      </c>
      <c r="E685">
        <f t="shared" ca="1" si="83"/>
        <v>30</v>
      </c>
      <c r="F685" s="26">
        <f t="shared" ca="1" si="84"/>
        <v>4558.178229568106</v>
      </c>
      <c r="G685" s="26">
        <f t="shared" ca="1" si="85"/>
        <v>4559.9490129958576</v>
      </c>
      <c r="H685" t="str">
        <f t="shared" ca="1" si="86"/>
        <v>Static</v>
      </c>
      <c r="I685" s="26">
        <f t="shared" ca="1" si="87"/>
        <v>-1.7707834277516667</v>
      </c>
    </row>
    <row r="686" spans="1:9" x14ac:dyDescent="0.2">
      <c r="A686">
        <v>683</v>
      </c>
      <c r="B686" s="30">
        <f t="shared" ca="1" si="80"/>
        <v>0.67707180925509991</v>
      </c>
      <c r="C686" t="b">
        <f t="shared" ca="1" si="81"/>
        <v>0</v>
      </c>
      <c r="D686">
        <f t="shared" ca="1" si="82"/>
        <v>26</v>
      </c>
      <c r="E686">
        <f t="shared" ca="1" si="83"/>
        <v>30</v>
      </c>
      <c r="F686" s="26">
        <f t="shared" ca="1" si="84"/>
        <v>4557.86684168591</v>
      </c>
      <c r="G686" s="26">
        <f t="shared" ca="1" si="85"/>
        <v>4562.9722463113721</v>
      </c>
      <c r="H686" t="str">
        <f t="shared" ca="1" si="86"/>
        <v>Static</v>
      </c>
      <c r="I686" s="26">
        <f t="shared" ca="1" si="87"/>
        <v>-5.1054046254621426</v>
      </c>
    </row>
    <row r="687" spans="1:9" x14ac:dyDescent="0.2">
      <c r="A687">
        <v>684</v>
      </c>
      <c r="B687" s="30">
        <f t="shared" ca="1" si="80"/>
        <v>0.71887511650494407</v>
      </c>
      <c r="C687" t="b">
        <f t="shared" ca="1" si="81"/>
        <v>0</v>
      </c>
      <c r="D687">
        <f t="shared" ca="1" si="82"/>
        <v>26</v>
      </c>
      <c r="E687">
        <f t="shared" ca="1" si="83"/>
        <v>30</v>
      </c>
      <c r="F687" s="26">
        <f t="shared" ca="1" si="84"/>
        <v>4556.2724878250847</v>
      </c>
      <c r="G687" s="26">
        <f t="shared" ca="1" si="85"/>
        <v>4560.5872416474522</v>
      </c>
      <c r="H687" t="str">
        <f t="shared" ca="1" si="86"/>
        <v>Static</v>
      </c>
      <c r="I687" s="26">
        <f t="shared" ca="1" si="87"/>
        <v>-4.3147538223674928</v>
      </c>
    </row>
    <row r="688" spans="1:9" x14ac:dyDescent="0.2">
      <c r="A688">
        <v>685</v>
      </c>
      <c r="B688" s="30">
        <f t="shared" ca="1" si="80"/>
        <v>0.94067748623268377</v>
      </c>
      <c r="C688" t="b">
        <f t="shared" ca="1" si="81"/>
        <v>0</v>
      </c>
      <c r="D688">
        <f t="shared" ca="1" si="82"/>
        <v>30</v>
      </c>
      <c r="E688">
        <f t="shared" ca="1" si="83"/>
        <v>30</v>
      </c>
      <c r="F688" s="26">
        <f t="shared" ca="1" si="84"/>
        <v>4559.4522577161779</v>
      </c>
      <c r="G688" s="26">
        <f t="shared" ca="1" si="85"/>
        <v>4563.8562139842734</v>
      </c>
      <c r="H688" t="str">
        <f t="shared" ca="1" si="86"/>
        <v>Static</v>
      </c>
      <c r="I688" s="26">
        <f t="shared" ca="1" si="87"/>
        <v>-4.4039562680954987</v>
      </c>
    </row>
    <row r="689" spans="1:9" x14ac:dyDescent="0.2">
      <c r="A689">
        <v>686</v>
      </c>
      <c r="B689" s="30">
        <f t="shared" ca="1" si="80"/>
        <v>0.24885570050714545</v>
      </c>
      <c r="C689" t="b">
        <f t="shared" ca="1" si="81"/>
        <v>1</v>
      </c>
      <c r="D689">
        <f t="shared" ca="1" si="82"/>
        <v>26</v>
      </c>
      <c r="E689">
        <f t="shared" ca="1" si="83"/>
        <v>26</v>
      </c>
      <c r="F689" s="26">
        <f t="shared" ca="1" si="84"/>
        <v>4558.9504206189949</v>
      </c>
      <c r="G689" s="26">
        <f t="shared" ca="1" si="85"/>
        <v>4542.1313565148685</v>
      </c>
      <c r="H689" t="str">
        <f t="shared" ca="1" si="86"/>
        <v>Reactive</v>
      </c>
      <c r="I689" s="26">
        <f t="shared" ca="1" si="87"/>
        <v>16.819064104126483</v>
      </c>
    </row>
    <row r="690" spans="1:9" x14ac:dyDescent="0.2">
      <c r="A690">
        <v>687</v>
      </c>
      <c r="B690" s="30">
        <f t="shared" ca="1" si="80"/>
        <v>0.66663124286461517</v>
      </c>
      <c r="C690" t="b">
        <f t="shared" ca="1" si="81"/>
        <v>0</v>
      </c>
      <c r="D690">
        <f t="shared" ca="1" si="82"/>
        <v>30</v>
      </c>
      <c r="E690">
        <f t="shared" ca="1" si="83"/>
        <v>30</v>
      </c>
      <c r="F690" s="26">
        <f t="shared" ca="1" si="84"/>
        <v>4560.9578178368665</v>
      </c>
      <c r="G690" s="26">
        <f t="shared" ca="1" si="85"/>
        <v>4560.8519947840614</v>
      </c>
      <c r="H690" t="str">
        <f t="shared" ca="1" si="86"/>
        <v>Reactive</v>
      </c>
      <c r="I690" s="26">
        <f t="shared" ca="1" si="87"/>
        <v>0.10582305280513538</v>
      </c>
    </row>
    <row r="691" spans="1:9" x14ac:dyDescent="0.2">
      <c r="A691">
        <v>688</v>
      </c>
      <c r="B691" s="30">
        <f t="shared" ca="1" si="80"/>
        <v>0.56353483294901019</v>
      </c>
      <c r="C691" t="b">
        <f t="shared" ca="1" si="81"/>
        <v>0</v>
      </c>
      <c r="D691">
        <f t="shared" ca="1" si="82"/>
        <v>29</v>
      </c>
      <c r="E691">
        <f t="shared" ca="1" si="83"/>
        <v>30</v>
      </c>
      <c r="F691" s="26">
        <f t="shared" ca="1" si="84"/>
        <v>4558.8740730744485</v>
      </c>
      <c r="G691" s="26">
        <f t="shared" ca="1" si="85"/>
        <v>4561.268780292542</v>
      </c>
      <c r="H691" t="str">
        <f t="shared" ca="1" si="86"/>
        <v>Static</v>
      </c>
      <c r="I691" s="26">
        <f t="shared" ca="1" si="87"/>
        <v>-2.394707218093572</v>
      </c>
    </row>
    <row r="692" spans="1:9" x14ac:dyDescent="0.2">
      <c r="A692">
        <v>689</v>
      </c>
      <c r="B692" s="30">
        <f t="shared" ca="1" si="80"/>
        <v>0.3477562722225449</v>
      </c>
      <c r="C692" t="b">
        <f t="shared" ca="1" si="81"/>
        <v>1</v>
      </c>
      <c r="D692">
        <f t="shared" ca="1" si="82"/>
        <v>28</v>
      </c>
      <c r="E692">
        <f t="shared" ca="1" si="83"/>
        <v>28</v>
      </c>
      <c r="F692" s="26">
        <f t="shared" ca="1" si="84"/>
        <v>4556.6818398015885</v>
      </c>
      <c r="G692" s="26">
        <f t="shared" ca="1" si="85"/>
        <v>4542.2402730566</v>
      </c>
      <c r="H692" t="str">
        <f t="shared" ca="1" si="86"/>
        <v>Reactive</v>
      </c>
      <c r="I692" s="26">
        <f t="shared" ca="1" si="87"/>
        <v>14.441566744988449</v>
      </c>
    </row>
    <row r="693" spans="1:9" x14ac:dyDescent="0.2">
      <c r="A693">
        <v>690</v>
      </c>
      <c r="B693" s="30">
        <f t="shared" ca="1" si="80"/>
        <v>0.91415923605861116</v>
      </c>
      <c r="C693" t="b">
        <f t="shared" ca="1" si="81"/>
        <v>0</v>
      </c>
      <c r="D693">
        <f t="shared" ca="1" si="82"/>
        <v>27</v>
      </c>
      <c r="E693">
        <f t="shared" ca="1" si="83"/>
        <v>30</v>
      </c>
      <c r="F693" s="26">
        <f t="shared" ca="1" si="84"/>
        <v>4560.3681933307289</v>
      </c>
      <c r="G693" s="26">
        <f t="shared" ca="1" si="85"/>
        <v>4560.5300694469724</v>
      </c>
      <c r="H693" t="str">
        <f t="shared" ca="1" si="86"/>
        <v>Static</v>
      </c>
      <c r="I693" s="26">
        <f t="shared" ca="1" si="87"/>
        <v>-0.16187611624354759</v>
      </c>
    </row>
    <row r="694" spans="1:9" x14ac:dyDescent="0.2">
      <c r="A694">
        <v>691</v>
      </c>
      <c r="B694" s="30">
        <f t="shared" ca="1" si="80"/>
        <v>0.13697978431640401</v>
      </c>
      <c r="C694" t="b">
        <f t="shared" ca="1" si="81"/>
        <v>1</v>
      </c>
      <c r="D694">
        <f t="shared" ca="1" si="82"/>
        <v>26</v>
      </c>
      <c r="E694">
        <f t="shared" ca="1" si="83"/>
        <v>26</v>
      </c>
      <c r="F694" s="26">
        <f t="shared" ca="1" si="84"/>
        <v>4558.5078056428101</v>
      </c>
      <c r="G694" s="26">
        <f t="shared" ca="1" si="85"/>
        <v>4541.4082388121997</v>
      </c>
      <c r="H694" t="str">
        <f t="shared" ca="1" si="86"/>
        <v>Reactive</v>
      </c>
      <c r="I694" s="26">
        <f t="shared" ca="1" si="87"/>
        <v>17.099566830610456</v>
      </c>
    </row>
    <row r="695" spans="1:9" x14ac:dyDescent="0.2">
      <c r="A695">
        <v>692</v>
      </c>
      <c r="B695" s="30">
        <f t="shared" ca="1" si="80"/>
        <v>0.88813267371119065</v>
      </c>
      <c r="C695" t="b">
        <f t="shared" ca="1" si="81"/>
        <v>0</v>
      </c>
      <c r="D695">
        <f t="shared" ca="1" si="82"/>
        <v>26</v>
      </c>
      <c r="E695">
        <f t="shared" ca="1" si="83"/>
        <v>30</v>
      </c>
      <c r="F695" s="26">
        <f t="shared" ca="1" si="84"/>
        <v>4559.2268819350193</v>
      </c>
      <c r="G695" s="26">
        <f t="shared" ca="1" si="85"/>
        <v>4559.2761375374621</v>
      </c>
      <c r="H695" t="str">
        <f t="shared" ca="1" si="86"/>
        <v>Static</v>
      </c>
      <c r="I695" s="26">
        <f t="shared" ca="1" si="87"/>
        <v>-4.9255602442826785E-2</v>
      </c>
    </row>
    <row r="696" spans="1:9" x14ac:dyDescent="0.2">
      <c r="A696">
        <v>693</v>
      </c>
      <c r="B696" s="30">
        <f t="shared" ca="1" si="80"/>
        <v>7.236006534132744E-2</v>
      </c>
      <c r="C696" t="b">
        <f t="shared" ca="1" si="81"/>
        <v>1</v>
      </c>
      <c r="D696">
        <f t="shared" ca="1" si="82"/>
        <v>30</v>
      </c>
      <c r="E696">
        <f t="shared" ca="1" si="83"/>
        <v>30</v>
      </c>
      <c r="F696" s="26">
        <f t="shared" ca="1" si="84"/>
        <v>4559.2563876255672</v>
      </c>
      <c r="G696" s="26">
        <f t="shared" ca="1" si="85"/>
        <v>4545.3353069992509</v>
      </c>
      <c r="H696" t="str">
        <f t="shared" ca="1" si="86"/>
        <v>Reactive</v>
      </c>
      <c r="I696" s="26">
        <f t="shared" ca="1" si="87"/>
        <v>13.921080626316325</v>
      </c>
    </row>
    <row r="697" spans="1:9" x14ac:dyDescent="0.2">
      <c r="A697">
        <v>694</v>
      </c>
      <c r="B697" s="30">
        <f t="shared" ca="1" si="80"/>
        <v>0.25487889356116011</v>
      </c>
      <c r="C697" t="b">
        <f t="shared" ca="1" si="81"/>
        <v>1</v>
      </c>
      <c r="D697">
        <f t="shared" ca="1" si="82"/>
        <v>30</v>
      </c>
      <c r="E697">
        <f t="shared" ca="1" si="83"/>
        <v>30</v>
      </c>
      <c r="F697" s="26">
        <f t="shared" ca="1" si="84"/>
        <v>4559.9560934479614</v>
      </c>
      <c r="G697" s="26">
        <f t="shared" ca="1" si="85"/>
        <v>4543.8456288526813</v>
      </c>
      <c r="H697" t="str">
        <f t="shared" ca="1" si="86"/>
        <v>Reactive</v>
      </c>
      <c r="I697" s="26">
        <f t="shared" ca="1" si="87"/>
        <v>16.110464595280064</v>
      </c>
    </row>
    <row r="698" spans="1:9" x14ac:dyDescent="0.2">
      <c r="A698">
        <v>695</v>
      </c>
      <c r="B698" s="30">
        <f t="shared" ca="1" si="80"/>
        <v>0.53441353971006789</v>
      </c>
      <c r="C698" t="b">
        <f t="shared" ca="1" si="81"/>
        <v>0</v>
      </c>
      <c r="D698">
        <f t="shared" ca="1" si="82"/>
        <v>27</v>
      </c>
      <c r="E698">
        <f t="shared" ca="1" si="83"/>
        <v>30</v>
      </c>
      <c r="F698" s="26">
        <f t="shared" ca="1" si="84"/>
        <v>4558.9801920021182</v>
      </c>
      <c r="G698" s="26">
        <f t="shared" ca="1" si="85"/>
        <v>4559.2131886750658</v>
      </c>
      <c r="H698" t="str">
        <f t="shared" ca="1" si="86"/>
        <v>Static</v>
      </c>
      <c r="I698" s="26">
        <f t="shared" ca="1" si="87"/>
        <v>-0.23299667294759274</v>
      </c>
    </row>
    <row r="699" spans="1:9" x14ac:dyDescent="0.2">
      <c r="A699">
        <v>696</v>
      </c>
      <c r="B699" s="30">
        <f t="shared" ca="1" si="80"/>
        <v>9.4489991802068074E-2</v>
      </c>
      <c r="C699" t="b">
        <f t="shared" ca="1" si="81"/>
        <v>1</v>
      </c>
      <c r="D699">
        <f t="shared" ca="1" si="82"/>
        <v>28</v>
      </c>
      <c r="E699">
        <f t="shared" ca="1" si="83"/>
        <v>28</v>
      </c>
      <c r="F699" s="26">
        <f t="shared" ca="1" si="84"/>
        <v>4558.1121984975662</v>
      </c>
      <c r="G699" s="26">
        <f t="shared" ca="1" si="85"/>
        <v>4542.6962630742582</v>
      </c>
      <c r="H699" t="str">
        <f t="shared" ca="1" si="86"/>
        <v>Reactive</v>
      </c>
      <c r="I699" s="26">
        <f t="shared" ca="1" si="87"/>
        <v>15.415935423307928</v>
      </c>
    </row>
    <row r="700" spans="1:9" x14ac:dyDescent="0.2">
      <c r="A700">
        <v>697</v>
      </c>
      <c r="B700" s="30">
        <f t="shared" ca="1" si="80"/>
        <v>0.93657232926085976</v>
      </c>
      <c r="C700" t="b">
        <f t="shared" ca="1" si="81"/>
        <v>0</v>
      </c>
      <c r="D700">
        <f t="shared" ca="1" si="82"/>
        <v>26</v>
      </c>
      <c r="E700">
        <f t="shared" ca="1" si="83"/>
        <v>30</v>
      </c>
      <c r="F700" s="26">
        <f t="shared" ca="1" si="84"/>
        <v>4558.8743333141174</v>
      </c>
      <c r="G700" s="26">
        <f t="shared" ca="1" si="85"/>
        <v>4561.2923857955302</v>
      </c>
      <c r="H700" t="str">
        <f t="shared" ca="1" si="86"/>
        <v>Static</v>
      </c>
      <c r="I700" s="26">
        <f t="shared" ca="1" si="87"/>
        <v>-2.4180524814128148</v>
      </c>
    </row>
    <row r="701" spans="1:9" x14ac:dyDescent="0.2">
      <c r="A701">
        <v>698</v>
      </c>
      <c r="B701" s="30">
        <f t="shared" ca="1" si="80"/>
        <v>0.72807274113428111</v>
      </c>
      <c r="C701" t="b">
        <f t="shared" ca="1" si="81"/>
        <v>0</v>
      </c>
      <c r="D701">
        <f t="shared" ca="1" si="82"/>
        <v>30</v>
      </c>
      <c r="E701">
        <f t="shared" ca="1" si="83"/>
        <v>30</v>
      </c>
      <c r="F701" s="26">
        <f t="shared" ca="1" si="84"/>
        <v>4558.5027371263295</v>
      </c>
      <c r="G701" s="26">
        <f t="shared" ca="1" si="85"/>
        <v>4560.5085427359745</v>
      </c>
      <c r="H701" t="str">
        <f t="shared" ca="1" si="86"/>
        <v>Static</v>
      </c>
      <c r="I701" s="26">
        <f t="shared" ca="1" si="87"/>
        <v>-2.0058056096449945</v>
      </c>
    </row>
    <row r="702" spans="1:9" x14ac:dyDescent="0.2">
      <c r="A702">
        <v>699</v>
      </c>
      <c r="B702" s="30">
        <f t="shared" ca="1" si="80"/>
        <v>8.2027474826322777E-2</v>
      </c>
      <c r="C702" t="b">
        <f t="shared" ca="1" si="81"/>
        <v>1</v>
      </c>
      <c r="D702">
        <f t="shared" ca="1" si="82"/>
        <v>29</v>
      </c>
      <c r="E702">
        <f t="shared" ca="1" si="83"/>
        <v>29</v>
      </c>
      <c r="F702" s="26">
        <f t="shared" ca="1" si="84"/>
        <v>4559.1187633977734</v>
      </c>
      <c r="G702" s="26">
        <f t="shared" ca="1" si="85"/>
        <v>4543.9010984868337</v>
      </c>
      <c r="H702" t="str">
        <f t="shared" ca="1" si="86"/>
        <v>Reactive</v>
      </c>
      <c r="I702" s="26">
        <f t="shared" ca="1" si="87"/>
        <v>15.217664910939675</v>
      </c>
    </row>
    <row r="703" spans="1:9" x14ac:dyDescent="0.2">
      <c r="A703">
        <v>700</v>
      </c>
      <c r="B703" s="30">
        <f t="shared" ca="1" si="80"/>
        <v>0.71030145594410943</v>
      </c>
      <c r="C703" t="b">
        <f t="shared" ca="1" si="81"/>
        <v>0</v>
      </c>
      <c r="D703">
        <f t="shared" ca="1" si="82"/>
        <v>28</v>
      </c>
      <c r="E703">
        <f t="shared" ca="1" si="83"/>
        <v>30</v>
      </c>
      <c r="F703" s="26">
        <f t="shared" ca="1" si="84"/>
        <v>4559.1547159180163</v>
      </c>
      <c r="G703" s="26">
        <f t="shared" ca="1" si="85"/>
        <v>4559.631701910911</v>
      </c>
      <c r="H703" t="str">
        <f t="shared" ca="1" si="86"/>
        <v>Static</v>
      </c>
      <c r="I703" s="26">
        <f t="shared" ca="1" si="87"/>
        <v>-0.47698599289469712</v>
      </c>
    </row>
    <row r="704" spans="1:9" x14ac:dyDescent="0.2">
      <c r="A704">
        <v>701</v>
      </c>
      <c r="B704" s="30">
        <f t="shared" ca="1" si="80"/>
        <v>0.35521818630014934</v>
      </c>
      <c r="C704" t="b">
        <f t="shared" ca="1" si="81"/>
        <v>0</v>
      </c>
      <c r="D704">
        <f t="shared" ca="1" si="82"/>
        <v>30</v>
      </c>
      <c r="E704">
        <f t="shared" ca="1" si="83"/>
        <v>30</v>
      </c>
      <c r="F704" s="26">
        <f t="shared" ca="1" si="84"/>
        <v>4560.6385369092013</v>
      </c>
      <c r="G704" s="26">
        <f t="shared" ca="1" si="85"/>
        <v>4558.9737757366211</v>
      </c>
      <c r="H704" t="str">
        <f t="shared" ca="1" si="86"/>
        <v>Reactive</v>
      </c>
      <c r="I704" s="26">
        <f t="shared" ca="1" si="87"/>
        <v>1.6647611725802562</v>
      </c>
    </row>
    <row r="705" spans="1:9" x14ac:dyDescent="0.2">
      <c r="A705">
        <v>702</v>
      </c>
      <c r="B705" s="30">
        <f t="shared" ca="1" si="80"/>
        <v>0.20300143633296597</v>
      </c>
      <c r="C705" t="b">
        <f t="shared" ca="1" si="81"/>
        <v>1</v>
      </c>
      <c r="D705">
        <f t="shared" ca="1" si="82"/>
        <v>26</v>
      </c>
      <c r="E705">
        <f t="shared" ca="1" si="83"/>
        <v>26</v>
      </c>
      <c r="F705" s="26">
        <f t="shared" ca="1" si="84"/>
        <v>4559.5256630911135</v>
      </c>
      <c r="G705" s="26">
        <f t="shared" ca="1" si="85"/>
        <v>4543.7301219006695</v>
      </c>
      <c r="H705" t="str">
        <f t="shared" ca="1" si="86"/>
        <v>Reactive</v>
      </c>
      <c r="I705" s="26">
        <f t="shared" ca="1" si="87"/>
        <v>15.795541190444055</v>
      </c>
    </row>
    <row r="706" spans="1:9" x14ac:dyDescent="0.2">
      <c r="A706">
        <v>703</v>
      </c>
      <c r="B706" s="30">
        <f t="shared" ca="1" si="80"/>
        <v>0.91170018618335458</v>
      </c>
      <c r="C706" t="b">
        <f t="shared" ca="1" si="81"/>
        <v>0</v>
      </c>
      <c r="D706">
        <f t="shared" ca="1" si="82"/>
        <v>28</v>
      </c>
      <c r="E706">
        <f t="shared" ca="1" si="83"/>
        <v>30</v>
      </c>
      <c r="F706" s="26">
        <f t="shared" ca="1" si="84"/>
        <v>4558.4571245100133</v>
      </c>
      <c r="G706" s="26">
        <f t="shared" ca="1" si="85"/>
        <v>4560.2588871541575</v>
      </c>
      <c r="H706" t="str">
        <f t="shared" ca="1" si="86"/>
        <v>Static</v>
      </c>
      <c r="I706" s="26">
        <f t="shared" ca="1" si="87"/>
        <v>-1.8017626441442189</v>
      </c>
    </row>
    <row r="707" spans="1:9" x14ac:dyDescent="0.2">
      <c r="A707">
        <v>704</v>
      </c>
      <c r="B707" s="30">
        <f t="shared" ca="1" si="80"/>
        <v>0.61586274520790107</v>
      </c>
      <c r="C707" t="b">
        <f t="shared" ca="1" si="81"/>
        <v>0</v>
      </c>
      <c r="D707">
        <f t="shared" ca="1" si="82"/>
        <v>26</v>
      </c>
      <c r="E707">
        <f t="shared" ca="1" si="83"/>
        <v>30</v>
      </c>
      <c r="F707" s="26">
        <f t="shared" ca="1" si="84"/>
        <v>4559.4842787964362</v>
      </c>
      <c r="G707" s="26">
        <f t="shared" ca="1" si="85"/>
        <v>4559.1456634128854</v>
      </c>
      <c r="H707" t="str">
        <f t="shared" ca="1" si="86"/>
        <v>Reactive</v>
      </c>
      <c r="I707" s="26">
        <f t="shared" ca="1" si="87"/>
        <v>0.33861538355085941</v>
      </c>
    </row>
    <row r="708" spans="1:9" x14ac:dyDescent="0.2">
      <c r="A708">
        <v>705</v>
      </c>
      <c r="B708" s="30">
        <f t="shared" ref="B708:B771" ca="1" si="88">RAND()</f>
        <v>0.73224245616693273</v>
      </c>
      <c r="C708" t="b">
        <f t="shared" ref="C708:C771" ca="1" si="89">B708&lt;ProbSC</f>
        <v>0</v>
      </c>
      <c r="D708">
        <f t="shared" ref="D708:D771" ca="1" si="90">ReactMin+INT(RAND()*(ReactMax-ReactMin+1))</f>
        <v>26</v>
      </c>
      <c r="E708">
        <f t="shared" ref="E708:E771" ca="1" si="91">IF(C708,D708,MustLap)</f>
        <v>30</v>
      </c>
      <c r="F708" s="26">
        <f t="shared" ref="F708:F771" ca="1" si="92">BaseLap*Laps+Deg*(PlanLap*(PlanLap-1)/2+(Laps-PlanLap)*(Laps-PlanLap-1)/2)+PitGreen+NORMINV(RAND(),0,NoiseSD)</f>
        <v>4558.8711836664315</v>
      </c>
      <c r="G708" s="26">
        <f t="shared" ref="G708:G771" ca="1" si="93">BaseLap*Laps+Deg*(E708*(E708-1)/2+(Laps-E708)*(Laps-E708-1)/2)+IF(C708,PitSC,PitGreen)+NORMINV(RAND(),0,NoiseSD)</f>
        <v>4561.6041040207519</v>
      </c>
      <c r="H708" t="str">
        <f t="shared" ref="H708:H771" ca="1" si="94">IF(F708&lt;G708,"Static","Reactive")</f>
        <v>Static</v>
      </c>
      <c r="I708" s="26">
        <f t="shared" ref="I708:I771" ca="1" si="95">F708-G708</f>
        <v>-2.732920354320413</v>
      </c>
    </row>
    <row r="709" spans="1:9" x14ac:dyDescent="0.2">
      <c r="A709">
        <v>706</v>
      </c>
      <c r="B709" s="30">
        <f t="shared" ca="1" si="88"/>
        <v>0.76657926467918269</v>
      </c>
      <c r="C709" t="b">
        <f t="shared" ca="1" si="89"/>
        <v>0</v>
      </c>
      <c r="D709">
        <f t="shared" ca="1" si="90"/>
        <v>28</v>
      </c>
      <c r="E709">
        <f t="shared" ca="1" si="91"/>
        <v>30</v>
      </c>
      <c r="F709" s="26">
        <f t="shared" ca="1" si="92"/>
        <v>4558.6259164571693</v>
      </c>
      <c r="G709" s="26">
        <f t="shared" ca="1" si="93"/>
        <v>4559.3793678906068</v>
      </c>
      <c r="H709" t="str">
        <f t="shared" ca="1" si="94"/>
        <v>Static</v>
      </c>
      <c r="I709" s="26">
        <f t="shared" ca="1" si="95"/>
        <v>-0.75345143343747623</v>
      </c>
    </row>
    <row r="710" spans="1:9" x14ac:dyDescent="0.2">
      <c r="A710">
        <v>707</v>
      </c>
      <c r="B710" s="30">
        <f t="shared" ca="1" si="88"/>
        <v>0.33410371938956929</v>
      </c>
      <c r="C710" t="b">
        <f t="shared" ca="1" si="89"/>
        <v>1</v>
      </c>
      <c r="D710">
        <f t="shared" ca="1" si="90"/>
        <v>30</v>
      </c>
      <c r="E710">
        <f t="shared" ca="1" si="91"/>
        <v>30</v>
      </c>
      <c r="F710" s="26">
        <f t="shared" ca="1" si="92"/>
        <v>4559.6115723334979</v>
      </c>
      <c r="G710" s="26">
        <f t="shared" ca="1" si="93"/>
        <v>4543.0489131796521</v>
      </c>
      <c r="H710" t="str">
        <f t="shared" ca="1" si="94"/>
        <v>Reactive</v>
      </c>
      <c r="I710" s="26">
        <f t="shared" ca="1" si="95"/>
        <v>16.562659153845743</v>
      </c>
    </row>
    <row r="711" spans="1:9" x14ac:dyDescent="0.2">
      <c r="A711">
        <v>708</v>
      </c>
      <c r="B711" s="30">
        <f t="shared" ca="1" si="88"/>
        <v>7.1080072877289457E-2</v>
      </c>
      <c r="C711" t="b">
        <f t="shared" ca="1" si="89"/>
        <v>1</v>
      </c>
      <c r="D711">
        <f t="shared" ca="1" si="90"/>
        <v>30</v>
      </c>
      <c r="E711">
        <f t="shared" ca="1" si="91"/>
        <v>30</v>
      </c>
      <c r="F711" s="26">
        <f t="shared" ca="1" si="92"/>
        <v>4558.5306499141407</v>
      </c>
      <c r="G711" s="26">
        <f t="shared" ca="1" si="93"/>
        <v>4545.3843439007487</v>
      </c>
      <c r="H711" t="str">
        <f t="shared" ca="1" si="94"/>
        <v>Reactive</v>
      </c>
      <c r="I711" s="26">
        <f t="shared" ca="1" si="95"/>
        <v>13.14630601339195</v>
      </c>
    </row>
    <row r="712" spans="1:9" x14ac:dyDescent="0.2">
      <c r="A712">
        <v>709</v>
      </c>
      <c r="B712" s="30">
        <f t="shared" ca="1" si="88"/>
        <v>0.99524931857366017</v>
      </c>
      <c r="C712" t="b">
        <f t="shared" ca="1" si="89"/>
        <v>0</v>
      </c>
      <c r="D712">
        <f t="shared" ca="1" si="90"/>
        <v>26</v>
      </c>
      <c r="E712">
        <f t="shared" ca="1" si="91"/>
        <v>30</v>
      </c>
      <c r="F712" s="26">
        <f t="shared" ca="1" si="92"/>
        <v>4558.5895276974115</v>
      </c>
      <c r="G712" s="26">
        <f t="shared" ca="1" si="93"/>
        <v>4560.2382105212673</v>
      </c>
      <c r="H712" t="str">
        <f t="shared" ca="1" si="94"/>
        <v>Static</v>
      </c>
      <c r="I712" s="26">
        <f t="shared" ca="1" si="95"/>
        <v>-1.6486828238557791</v>
      </c>
    </row>
    <row r="713" spans="1:9" x14ac:dyDescent="0.2">
      <c r="A713">
        <v>710</v>
      </c>
      <c r="B713" s="30">
        <f t="shared" ca="1" si="88"/>
        <v>0.39267678471061862</v>
      </c>
      <c r="C713" t="b">
        <f t="shared" ca="1" si="89"/>
        <v>0</v>
      </c>
      <c r="D713">
        <f t="shared" ca="1" si="90"/>
        <v>30</v>
      </c>
      <c r="E713">
        <f t="shared" ca="1" si="91"/>
        <v>30</v>
      </c>
      <c r="F713" s="26">
        <f t="shared" ca="1" si="92"/>
        <v>4559.0478781457805</v>
      </c>
      <c r="G713" s="26">
        <f t="shared" ca="1" si="93"/>
        <v>4560.4114265168173</v>
      </c>
      <c r="H713" t="str">
        <f t="shared" ca="1" si="94"/>
        <v>Static</v>
      </c>
      <c r="I713" s="26">
        <f t="shared" ca="1" si="95"/>
        <v>-1.3635483710368135</v>
      </c>
    </row>
    <row r="714" spans="1:9" x14ac:dyDescent="0.2">
      <c r="A714">
        <v>711</v>
      </c>
      <c r="B714" s="30">
        <f t="shared" ca="1" si="88"/>
        <v>0.94156537137893648</v>
      </c>
      <c r="C714" t="b">
        <f t="shared" ca="1" si="89"/>
        <v>0</v>
      </c>
      <c r="D714">
        <f t="shared" ca="1" si="90"/>
        <v>28</v>
      </c>
      <c r="E714">
        <f t="shared" ca="1" si="91"/>
        <v>30</v>
      </c>
      <c r="F714" s="26">
        <f t="shared" ca="1" si="92"/>
        <v>4560.0080260385357</v>
      </c>
      <c r="G714" s="26">
        <f t="shared" ca="1" si="93"/>
        <v>4561.837394932083</v>
      </c>
      <c r="H714" t="str">
        <f t="shared" ca="1" si="94"/>
        <v>Static</v>
      </c>
      <c r="I714" s="26">
        <f t="shared" ca="1" si="95"/>
        <v>-1.8293688935473256</v>
      </c>
    </row>
    <row r="715" spans="1:9" x14ac:dyDescent="0.2">
      <c r="A715">
        <v>712</v>
      </c>
      <c r="B715" s="30">
        <f t="shared" ca="1" si="88"/>
        <v>0.54267841128988681</v>
      </c>
      <c r="C715" t="b">
        <f t="shared" ca="1" si="89"/>
        <v>0</v>
      </c>
      <c r="D715">
        <f t="shared" ca="1" si="90"/>
        <v>27</v>
      </c>
      <c r="E715">
        <f t="shared" ca="1" si="91"/>
        <v>30</v>
      </c>
      <c r="F715" s="26">
        <f t="shared" ca="1" si="92"/>
        <v>4557.6801294006682</v>
      </c>
      <c r="G715" s="26">
        <f t="shared" ca="1" si="93"/>
        <v>4560.399560185434</v>
      </c>
      <c r="H715" t="str">
        <f t="shared" ca="1" si="94"/>
        <v>Static</v>
      </c>
      <c r="I715" s="26">
        <f t="shared" ca="1" si="95"/>
        <v>-2.719430784765791</v>
      </c>
    </row>
    <row r="716" spans="1:9" x14ac:dyDescent="0.2">
      <c r="A716">
        <v>713</v>
      </c>
      <c r="B716" s="30">
        <f t="shared" ca="1" si="88"/>
        <v>0.87421710530814845</v>
      </c>
      <c r="C716" t="b">
        <f t="shared" ca="1" si="89"/>
        <v>0</v>
      </c>
      <c r="D716">
        <f t="shared" ca="1" si="90"/>
        <v>28</v>
      </c>
      <c r="E716">
        <f t="shared" ca="1" si="91"/>
        <v>30</v>
      </c>
      <c r="F716" s="26">
        <f t="shared" ca="1" si="92"/>
        <v>4558.1581905718867</v>
      </c>
      <c r="G716" s="26">
        <f t="shared" ca="1" si="93"/>
        <v>4559.7188930215952</v>
      </c>
      <c r="H716" t="str">
        <f t="shared" ca="1" si="94"/>
        <v>Static</v>
      </c>
      <c r="I716" s="26">
        <f t="shared" ca="1" si="95"/>
        <v>-1.5607024497085149</v>
      </c>
    </row>
    <row r="717" spans="1:9" x14ac:dyDescent="0.2">
      <c r="A717">
        <v>714</v>
      </c>
      <c r="B717" s="30">
        <f t="shared" ca="1" si="88"/>
        <v>0.38839973584393173</v>
      </c>
      <c r="C717" t="b">
        <f t="shared" ca="1" si="89"/>
        <v>0</v>
      </c>
      <c r="D717">
        <f t="shared" ca="1" si="90"/>
        <v>27</v>
      </c>
      <c r="E717">
        <f t="shared" ca="1" si="91"/>
        <v>30</v>
      </c>
      <c r="F717" s="26">
        <f t="shared" ca="1" si="92"/>
        <v>4560.26102941725</v>
      </c>
      <c r="G717" s="26">
        <f t="shared" ca="1" si="93"/>
        <v>4562.2651415616028</v>
      </c>
      <c r="H717" t="str">
        <f t="shared" ca="1" si="94"/>
        <v>Static</v>
      </c>
      <c r="I717" s="26">
        <f t="shared" ca="1" si="95"/>
        <v>-2.0041121443528027</v>
      </c>
    </row>
    <row r="718" spans="1:9" x14ac:dyDescent="0.2">
      <c r="A718">
        <v>715</v>
      </c>
      <c r="B718" s="30">
        <f t="shared" ca="1" si="88"/>
        <v>0.2894867934797567</v>
      </c>
      <c r="C718" t="b">
        <f t="shared" ca="1" si="89"/>
        <v>1</v>
      </c>
      <c r="D718">
        <f t="shared" ca="1" si="90"/>
        <v>26</v>
      </c>
      <c r="E718">
        <f t="shared" ca="1" si="91"/>
        <v>26</v>
      </c>
      <c r="F718" s="26">
        <f t="shared" ca="1" si="92"/>
        <v>4557.8741471127587</v>
      </c>
      <c r="G718" s="26">
        <f t="shared" ca="1" si="93"/>
        <v>4541.6875591344788</v>
      </c>
      <c r="H718" t="str">
        <f t="shared" ca="1" si="94"/>
        <v>Reactive</v>
      </c>
      <c r="I718" s="26">
        <f t="shared" ca="1" si="95"/>
        <v>16.186587978279931</v>
      </c>
    </row>
    <row r="719" spans="1:9" x14ac:dyDescent="0.2">
      <c r="A719">
        <v>716</v>
      </c>
      <c r="B719" s="30">
        <f t="shared" ca="1" si="88"/>
        <v>5.4086450891449478E-2</v>
      </c>
      <c r="C719" t="b">
        <f t="shared" ca="1" si="89"/>
        <v>1</v>
      </c>
      <c r="D719">
        <f t="shared" ca="1" si="90"/>
        <v>27</v>
      </c>
      <c r="E719">
        <f t="shared" ca="1" si="91"/>
        <v>27</v>
      </c>
      <c r="F719" s="26">
        <f t="shared" ca="1" si="92"/>
        <v>4559.607126887694</v>
      </c>
      <c r="G719" s="26">
        <f t="shared" ca="1" si="93"/>
        <v>4541.2797730553875</v>
      </c>
      <c r="H719" t="str">
        <f t="shared" ca="1" si="94"/>
        <v>Reactive</v>
      </c>
      <c r="I719" s="26">
        <f t="shared" ca="1" si="95"/>
        <v>18.327353832306471</v>
      </c>
    </row>
    <row r="720" spans="1:9" x14ac:dyDescent="0.2">
      <c r="A720">
        <v>717</v>
      </c>
      <c r="B720" s="30">
        <f t="shared" ca="1" si="88"/>
        <v>0.48363756392307422</v>
      </c>
      <c r="C720" t="b">
        <f t="shared" ca="1" si="89"/>
        <v>0</v>
      </c>
      <c r="D720">
        <f t="shared" ca="1" si="90"/>
        <v>27</v>
      </c>
      <c r="E720">
        <f t="shared" ca="1" si="91"/>
        <v>30</v>
      </c>
      <c r="F720" s="26">
        <f t="shared" ca="1" si="92"/>
        <v>4558.9067903306941</v>
      </c>
      <c r="G720" s="26">
        <f t="shared" ca="1" si="93"/>
        <v>4561.1417301295205</v>
      </c>
      <c r="H720" t="str">
        <f t="shared" ca="1" si="94"/>
        <v>Static</v>
      </c>
      <c r="I720" s="26">
        <f t="shared" ca="1" si="95"/>
        <v>-2.2349397988264172</v>
      </c>
    </row>
    <row r="721" spans="1:9" x14ac:dyDescent="0.2">
      <c r="A721">
        <v>718</v>
      </c>
      <c r="B721" s="30">
        <f t="shared" ca="1" si="88"/>
        <v>0.31131453852498492</v>
      </c>
      <c r="C721" t="b">
        <f t="shared" ca="1" si="89"/>
        <v>1</v>
      </c>
      <c r="D721">
        <f t="shared" ca="1" si="90"/>
        <v>28</v>
      </c>
      <c r="E721">
        <f t="shared" ca="1" si="91"/>
        <v>28</v>
      </c>
      <c r="F721" s="26">
        <f t="shared" ca="1" si="92"/>
        <v>4558.54979105656</v>
      </c>
      <c r="G721" s="26">
        <f t="shared" ca="1" si="93"/>
        <v>4542.5910009612435</v>
      </c>
      <c r="H721" t="str">
        <f t="shared" ca="1" si="94"/>
        <v>Reactive</v>
      </c>
      <c r="I721" s="26">
        <f t="shared" ca="1" si="95"/>
        <v>15.958790095316544</v>
      </c>
    </row>
    <row r="722" spans="1:9" x14ac:dyDescent="0.2">
      <c r="A722">
        <v>719</v>
      </c>
      <c r="B722" s="30">
        <f t="shared" ca="1" si="88"/>
        <v>0.47733891822628305</v>
      </c>
      <c r="C722" t="b">
        <f t="shared" ca="1" si="89"/>
        <v>0</v>
      </c>
      <c r="D722">
        <f t="shared" ca="1" si="90"/>
        <v>26</v>
      </c>
      <c r="E722">
        <f t="shared" ca="1" si="91"/>
        <v>30</v>
      </c>
      <c r="F722" s="26">
        <f t="shared" ca="1" si="92"/>
        <v>4556.9531638956305</v>
      </c>
      <c r="G722" s="26">
        <f t="shared" ca="1" si="93"/>
        <v>4561.339351987398</v>
      </c>
      <c r="H722" t="str">
        <f t="shared" ca="1" si="94"/>
        <v>Static</v>
      </c>
      <c r="I722" s="26">
        <f t="shared" ca="1" si="95"/>
        <v>-4.386188091767508</v>
      </c>
    </row>
    <row r="723" spans="1:9" x14ac:dyDescent="0.2">
      <c r="A723">
        <v>720</v>
      </c>
      <c r="B723" s="30">
        <f t="shared" ca="1" si="88"/>
        <v>0.46408395355552523</v>
      </c>
      <c r="C723" t="b">
        <f t="shared" ca="1" si="89"/>
        <v>0</v>
      </c>
      <c r="D723">
        <f t="shared" ca="1" si="90"/>
        <v>28</v>
      </c>
      <c r="E723">
        <f t="shared" ca="1" si="91"/>
        <v>30</v>
      </c>
      <c r="F723" s="26">
        <f t="shared" ca="1" si="92"/>
        <v>4559.5195427181061</v>
      </c>
      <c r="G723" s="26">
        <f t="shared" ca="1" si="93"/>
        <v>4560.5459838009592</v>
      </c>
      <c r="H723" t="str">
        <f t="shared" ca="1" si="94"/>
        <v>Static</v>
      </c>
      <c r="I723" s="26">
        <f t="shared" ca="1" si="95"/>
        <v>-1.0264410828531254</v>
      </c>
    </row>
    <row r="724" spans="1:9" x14ac:dyDescent="0.2">
      <c r="A724">
        <v>721</v>
      </c>
      <c r="B724" s="30">
        <f t="shared" ca="1" si="88"/>
        <v>0.47359562725669613</v>
      </c>
      <c r="C724" t="b">
        <f t="shared" ca="1" si="89"/>
        <v>0</v>
      </c>
      <c r="D724">
        <f t="shared" ca="1" si="90"/>
        <v>28</v>
      </c>
      <c r="E724">
        <f t="shared" ca="1" si="91"/>
        <v>30</v>
      </c>
      <c r="F724" s="26">
        <f t="shared" ca="1" si="92"/>
        <v>4558.5557358796932</v>
      </c>
      <c r="G724" s="26">
        <f t="shared" ca="1" si="93"/>
        <v>4560.9869160924472</v>
      </c>
      <c r="H724" t="str">
        <f t="shared" ca="1" si="94"/>
        <v>Static</v>
      </c>
      <c r="I724" s="26">
        <f t="shared" ca="1" si="95"/>
        <v>-2.4311802127540432</v>
      </c>
    </row>
    <row r="725" spans="1:9" x14ac:dyDescent="0.2">
      <c r="A725">
        <v>722</v>
      </c>
      <c r="B725" s="30">
        <f t="shared" ca="1" si="88"/>
        <v>0.89881185414803644</v>
      </c>
      <c r="C725" t="b">
        <f t="shared" ca="1" si="89"/>
        <v>0</v>
      </c>
      <c r="D725">
        <f t="shared" ca="1" si="90"/>
        <v>30</v>
      </c>
      <c r="E725">
        <f t="shared" ca="1" si="91"/>
        <v>30</v>
      </c>
      <c r="F725" s="26">
        <f t="shared" ca="1" si="92"/>
        <v>4560.038704656301</v>
      </c>
      <c r="G725" s="26">
        <f t="shared" ca="1" si="93"/>
        <v>4560.0273400936921</v>
      </c>
      <c r="H725" t="str">
        <f t="shared" ca="1" si="94"/>
        <v>Reactive</v>
      </c>
      <c r="I725" s="26">
        <f t="shared" ca="1" si="95"/>
        <v>1.1364562608832784E-2</v>
      </c>
    </row>
    <row r="726" spans="1:9" x14ac:dyDescent="0.2">
      <c r="A726">
        <v>723</v>
      </c>
      <c r="B726" s="30">
        <f t="shared" ca="1" si="88"/>
        <v>0.84906027789244998</v>
      </c>
      <c r="C726" t="b">
        <f t="shared" ca="1" si="89"/>
        <v>0</v>
      </c>
      <c r="D726">
        <f t="shared" ca="1" si="90"/>
        <v>29</v>
      </c>
      <c r="E726">
        <f t="shared" ca="1" si="91"/>
        <v>30</v>
      </c>
      <c r="F726" s="26">
        <f t="shared" ca="1" si="92"/>
        <v>4558.0064945659997</v>
      </c>
      <c r="G726" s="26">
        <f t="shared" ca="1" si="93"/>
        <v>4558.8932159938377</v>
      </c>
      <c r="H726" t="str">
        <f t="shared" ca="1" si="94"/>
        <v>Static</v>
      </c>
      <c r="I726" s="26">
        <f t="shared" ca="1" si="95"/>
        <v>-0.88672142783798336</v>
      </c>
    </row>
    <row r="727" spans="1:9" x14ac:dyDescent="0.2">
      <c r="A727">
        <v>724</v>
      </c>
      <c r="B727" s="30">
        <f t="shared" ca="1" si="88"/>
        <v>0.11213475421719288</v>
      </c>
      <c r="C727" t="b">
        <f t="shared" ca="1" si="89"/>
        <v>1</v>
      </c>
      <c r="D727">
        <f t="shared" ca="1" si="90"/>
        <v>29</v>
      </c>
      <c r="E727">
        <f t="shared" ca="1" si="91"/>
        <v>29</v>
      </c>
      <c r="F727" s="26">
        <f t="shared" ca="1" si="92"/>
        <v>4558.917520086844</v>
      </c>
      <c r="G727" s="26">
        <f t="shared" ca="1" si="93"/>
        <v>4545.3764101638189</v>
      </c>
      <c r="H727" t="str">
        <f t="shared" ca="1" si="94"/>
        <v>Reactive</v>
      </c>
      <c r="I727" s="26">
        <f t="shared" ca="1" si="95"/>
        <v>13.541109923025033</v>
      </c>
    </row>
    <row r="728" spans="1:9" x14ac:dyDescent="0.2">
      <c r="A728">
        <v>725</v>
      </c>
      <c r="B728" s="30">
        <f t="shared" ca="1" si="88"/>
        <v>0.63717873867942076</v>
      </c>
      <c r="C728" t="b">
        <f t="shared" ca="1" si="89"/>
        <v>0</v>
      </c>
      <c r="D728">
        <f t="shared" ca="1" si="90"/>
        <v>26</v>
      </c>
      <c r="E728">
        <f t="shared" ca="1" si="91"/>
        <v>30</v>
      </c>
      <c r="F728" s="26">
        <f t="shared" ca="1" si="92"/>
        <v>4559.0920396733718</v>
      </c>
      <c r="G728" s="26">
        <f t="shared" ca="1" si="93"/>
        <v>4561.0038759064</v>
      </c>
      <c r="H728" t="str">
        <f t="shared" ca="1" si="94"/>
        <v>Static</v>
      </c>
      <c r="I728" s="26">
        <f t="shared" ca="1" si="95"/>
        <v>-1.9118362330282253</v>
      </c>
    </row>
    <row r="729" spans="1:9" x14ac:dyDescent="0.2">
      <c r="A729">
        <v>726</v>
      </c>
      <c r="B729" s="30">
        <f t="shared" ca="1" si="88"/>
        <v>0.30863405292879365</v>
      </c>
      <c r="C729" t="b">
        <f t="shared" ca="1" si="89"/>
        <v>1</v>
      </c>
      <c r="D729">
        <f t="shared" ca="1" si="90"/>
        <v>30</v>
      </c>
      <c r="E729">
        <f t="shared" ca="1" si="91"/>
        <v>30</v>
      </c>
      <c r="F729" s="26">
        <f t="shared" ca="1" si="92"/>
        <v>4558.205035014259</v>
      </c>
      <c r="G729" s="26">
        <f t="shared" ca="1" si="93"/>
        <v>4542.1364094273376</v>
      </c>
      <c r="H729" t="str">
        <f t="shared" ca="1" si="94"/>
        <v>Reactive</v>
      </c>
      <c r="I729" s="26">
        <f t="shared" ca="1" si="95"/>
        <v>16.068625586921371</v>
      </c>
    </row>
    <row r="730" spans="1:9" x14ac:dyDescent="0.2">
      <c r="A730">
        <v>727</v>
      </c>
      <c r="B730" s="30">
        <f t="shared" ca="1" si="88"/>
        <v>0.3272105019213345</v>
      </c>
      <c r="C730" t="b">
        <f t="shared" ca="1" si="89"/>
        <v>1</v>
      </c>
      <c r="D730">
        <f t="shared" ca="1" si="90"/>
        <v>30</v>
      </c>
      <c r="E730">
        <f t="shared" ca="1" si="91"/>
        <v>30</v>
      </c>
      <c r="F730" s="26">
        <f t="shared" ca="1" si="92"/>
        <v>4561.4271157871899</v>
      </c>
      <c r="G730" s="26">
        <f t="shared" ca="1" si="93"/>
        <v>4544.1703025460329</v>
      </c>
      <c r="H730" t="str">
        <f t="shared" ca="1" si="94"/>
        <v>Reactive</v>
      </c>
      <c r="I730" s="26">
        <f t="shared" ca="1" si="95"/>
        <v>17.256813241157033</v>
      </c>
    </row>
    <row r="731" spans="1:9" x14ac:dyDescent="0.2">
      <c r="A731">
        <v>728</v>
      </c>
      <c r="B731" s="30">
        <f t="shared" ca="1" si="88"/>
        <v>0.13327994440394153</v>
      </c>
      <c r="C731" t="b">
        <f t="shared" ca="1" si="89"/>
        <v>1</v>
      </c>
      <c r="D731">
        <f t="shared" ca="1" si="90"/>
        <v>27</v>
      </c>
      <c r="E731">
        <f t="shared" ca="1" si="91"/>
        <v>27</v>
      </c>
      <c r="F731" s="26">
        <f t="shared" ca="1" si="92"/>
        <v>4560.144904023944</v>
      </c>
      <c r="G731" s="26">
        <f t="shared" ca="1" si="93"/>
        <v>4541.3783818050633</v>
      </c>
      <c r="H731" t="str">
        <f t="shared" ca="1" si="94"/>
        <v>Reactive</v>
      </c>
      <c r="I731" s="26">
        <f t="shared" ca="1" si="95"/>
        <v>18.766522218880709</v>
      </c>
    </row>
    <row r="732" spans="1:9" x14ac:dyDescent="0.2">
      <c r="A732">
        <v>729</v>
      </c>
      <c r="B732" s="30">
        <f t="shared" ca="1" si="88"/>
        <v>0.10020506375478466</v>
      </c>
      <c r="C732" t="b">
        <f t="shared" ca="1" si="89"/>
        <v>1</v>
      </c>
      <c r="D732">
        <f t="shared" ca="1" si="90"/>
        <v>28</v>
      </c>
      <c r="E732">
        <f t="shared" ca="1" si="91"/>
        <v>28</v>
      </c>
      <c r="F732" s="26">
        <f t="shared" ca="1" si="92"/>
        <v>4560.6761649915516</v>
      </c>
      <c r="G732" s="26">
        <f t="shared" ca="1" si="93"/>
        <v>4541.7260620171237</v>
      </c>
      <c r="H732" t="str">
        <f t="shared" ca="1" si="94"/>
        <v>Reactive</v>
      </c>
      <c r="I732" s="26">
        <f t="shared" ca="1" si="95"/>
        <v>18.950102974427864</v>
      </c>
    </row>
    <row r="733" spans="1:9" x14ac:dyDescent="0.2">
      <c r="A733">
        <v>730</v>
      </c>
      <c r="B733" s="30">
        <f t="shared" ca="1" si="88"/>
        <v>0.26984682131103344</v>
      </c>
      <c r="C733" t="b">
        <f t="shared" ca="1" si="89"/>
        <v>1</v>
      </c>
      <c r="D733">
        <f t="shared" ca="1" si="90"/>
        <v>30</v>
      </c>
      <c r="E733">
        <f t="shared" ca="1" si="91"/>
        <v>30</v>
      </c>
      <c r="F733" s="26">
        <f t="shared" ca="1" si="92"/>
        <v>4558.5535810421043</v>
      </c>
      <c r="G733" s="26">
        <f t="shared" ca="1" si="93"/>
        <v>4542.8409565221564</v>
      </c>
      <c r="H733" t="str">
        <f t="shared" ca="1" si="94"/>
        <v>Reactive</v>
      </c>
      <c r="I733" s="26">
        <f t="shared" ca="1" si="95"/>
        <v>15.712624519947894</v>
      </c>
    </row>
    <row r="734" spans="1:9" x14ac:dyDescent="0.2">
      <c r="A734">
        <v>731</v>
      </c>
      <c r="B734" s="30">
        <f t="shared" ca="1" si="88"/>
        <v>0.88106867427143787</v>
      </c>
      <c r="C734" t="b">
        <f t="shared" ca="1" si="89"/>
        <v>0</v>
      </c>
      <c r="D734">
        <f t="shared" ca="1" si="90"/>
        <v>30</v>
      </c>
      <c r="E734">
        <f t="shared" ca="1" si="91"/>
        <v>30</v>
      </c>
      <c r="F734" s="26">
        <f t="shared" ca="1" si="92"/>
        <v>4560.7408182125127</v>
      </c>
      <c r="G734" s="26">
        <f t="shared" ca="1" si="93"/>
        <v>4558.8458215014834</v>
      </c>
      <c r="H734" t="str">
        <f t="shared" ca="1" si="94"/>
        <v>Reactive</v>
      </c>
      <c r="I734" s="26">
        <f t="shared" ca="1" si="95"/>
        <v>1.8949967110293073</v>
      </c>
    </row>
    <row r="735" spans="1:9" x14ac:dyDescent="0.2">
      <c r="A735">
        <v>732</v>
      </c>
      <c r="B735" s="30">
        <f t="shared" ca="1" si="88"/>
        <v>0.44367001413474239</v>
      </c>
      <c r="C735" t="b">
        <f t="shared" ca="1" si="89"/>
        <v>0</v>
      </c>
      <c r="D735">
        <f t="shared" ca="1" si="90"/>
        <v>28</v>
      </c>
      <c r="E735">
        <f t="shared" ca="1" si="91"/>
        <v>30</v>
      </c>
      <c r="F735" s="26">
        <f t="shared" ca="1" si="92"/>
        <v>4559.4099207153904</v>
      </c>
      <c r="G735" s="26">
        <f t="shared" ca="1" si="93"/>
        <v>4560.7761900176683</v>
      </c>
      <c r="H735" t="str">
        <f t="shared" ca="1" si="94"/>
        <v>Static</v>
      </c>
      <c r="I735" s="26">
        <f t="shared" ca="1" si="95"/>
        <v>-1.3662693022779422</v>
      </c>
    </row>
    <row r="736" spans="1:9" x14ac:dyDescent="0.2">
      <c r="A736">
        <v>733</v>
      </c>
      <c r="B736" s="30">
        <f t="shared" ca="1" si="88"/>
        <v>3.934691429657855E-2</v>
      </c>
      <c r="C736" t="b">
        <f t="shared" ca="1" si="89"/>
        <v>1</v>
      </c>
      <c r="D736">
        <f t="shared" ca="1" si="90"/>
        <v>30</v>
      </c>
      <c r="E736">
        <f t="shared" ca="1" si="91"/>
        <v>30</v>
      </c>
      <c r="F736" s="26">
        <f t="shared" ca="1" si="92"/>
        <v>4556.6580881766204</v>
      </c>
      <c r="G736" s="26">
        <f t="shared" ca="1" si="93"/>
        <v>4545.7824190240972</v>
      </c>
      <c r="H736" t="str">
        <f t="shared" ca="1" si="94"/>
        <v>Reactive</v>
      </c>
      <c r="I736" s="26">
        <f t="shared" ca="1" si="95"/>
        <v>10.875669152523187</v>
      </c>
    </row>
    <row r="737" spans="1:9" x14ac:dyDescent="0.2">
      <c r="A737">
        <v>734</v>
      </c>
      <c r="B737" s="30">
        <f t="shared" ca="1" si="88"/>
        <v>0.68722350365230611</v>
      </c>
      <c r="C737" t="b">
        <f t="shared" ca="1" si="89"/>
        <v>0</v>
      </c>
      <c r="D737">
        <f t="shared" ca="1" si="90"/>
        <v>30</v>
      </c>
      <c r="E737">
        <f t="shared" ca="1" si="91"/>
        <v>30</v>
      </c>
      <c r="F737" s="26">
        <f t="shared" ca="1" si="92"/>
        <v>4557.5658213650122</v>
      </c>
      <c r="G737" s="26">
        <f t="shared" ca="1" si="93"/>
        <v>4560.7068327993184</v>
      </c>
      <c r="H737" t="str">
        <f t="shared" ca="1" si="94"/>
        <v>Static</v>
      </c>
      <c r="I737" s="26">
        <f t="shared" ca="1" si="95"/>
        <v>-3.141011434306165</v>
      </c>
    </row>
    <row r="738" spans="1:9" x14ac:dyDescent="0.2">
      <c r="A738">
        <v>735</v>
      </c>
      <c r="B738" s="30">
        <f t="shared" ca="1" si="88"/>
        <v>0.78630368873046563</v>
      </c>
      <c r="C738" t="b">
        <f t="shared" ca="1" si="89"/>
        <v>0</v>
      </c>
      <c r="D738">
        <f t="shared" ca="1" si="90"/>
        <v>28</v>
      </c>
      <c r="E738">
        <f t="shared" ca="1" si="91"/>
        <v>30</v>
      </c>
      <c r="F738" s="26">
        <f t="shared" ca="1" si="92"/>
        <v>4559.0454018998016</v>
      </c>
      <c r="G738" s="26">
        <f t="shared" ca="1" si="93"/>
        <v>4561.4220160679151</v>
      </c>
      <c r="H738" t="str">
        <f t="shared" ca="1" si="94"/>
        <v>Static</v>
      </c>
      <c r="I738" s="26">
        <f t="shared" ca="1" si="95"/>
        <v>-2.3766141681135196</v>
      </c>
    </row>
    <row r="739" spans="1:9" x14ac:dyDescent="0.2">
      <c r="A739">
        <v>736</v>
      </c>
      <c r="B739" s="30">
        <f t="shared" ca="1" si="88"/>
        <v>0.21374934463447981</v>
      </c>
      <c r="C739" t="b">
        <f t="shared" ca="1" si="89"/>
        <v>1</v>
      </c>
      <c r="D739">
        <f t="shared" ca="1" si="90"/>
        <v>30</v>
      </c>
      <c r="E739">
        <f t="shared" ca="1" si="91"/>
        <v>30</v>
      </c>
      <c r="F739" s="26">
        <f t="shared" ca="1" si="92"/>
        <v>4560.1813351578639</v>
      </c>
      <c r="G739" s="26">
        <f t="shared" ca="1" si="93"/>
        <v>4545.4343810907021</v>
      </c>
      <c r="H739" t="str">
        <f t="shared" ca="1" si="94"/>
        <v>Reactive</v>
      </c>
      <c r="I739" s="26">
        <f t="shared" ca="1" si="95"/>
        <v>14.746954067161823</v>
      </c>
    </row>
    <row r="740" spans="1:9" x14ac:dyDescent="0.2">
      <c r="A740">
        <v>737</v>
      </c>
      <c r="B740" s="30">
        <f t="shared" ca="1" si="88"/>
        <v>0.76645739638006893</v>
      </c>
      <c r="C740" t="b">
        <f t="shared" ca="1" si="89"/>
        <v>0</v>
      </c>
      <c r="D740">
        <f t="shared" ca="1" si="90"/>
        <v>28</v>
      </c>
      <c r="E740">
        <f t="shared" ca="1" si="91"/>
        <v>30</v>
      </c>
      <c r="F740" s="26">
        <f t="shared" ca="1" si="92"/>
        <v>4559.2204972212385</v>
      </c>
      <c r="G740" s="26">
        <f t="shared" ca="1" si="93"/>
        <v>4560.5553342041712</v>
      </c>
      <c r="H740" t="str">
        <f t="shared" ca="1" si="94"/>
        <v>Static</v>
      </c>
      <c r="I740" s="26">
        <f t="shared" ca="1" si="95"/>
        <v>-1.3348369829327567</v>
      </c>
    </row>
    <row r="741" spans="1:9" x14ac:dyDescent="0.2">
      <c r="A741">
        <v>738</v>
      </c>
      <c r="B741" s="30">
        <f t="shared" ca="1" si="88"/>
        <v>0.80441409392795304</v>
      </c>
      <c r="C741" t="b">
        <f t="shared" ca="1" si="89"/>
        <v>0</v>
      </c>
      <c r="D741">
        <f t="shared" ca="1" si="90"/>
        <v>28</v>
      </c>
      <c r="E741">
        <f t="shared" ca="1" si="91"/>
        <v>30</v>
      </c>
      <c r="F741" s="26">
        <f t="shared" ca="1" si="92"/>
        <v>4560.5124727582033</v>
      </c>
      <c r="G741" s="26">
        <f t="shared" ca="1" si="93"/>
        <v>4560.3983002650066</v>
      </c>
      <c r="H741" t="str">
        <f t="shared" ca="1" si="94"/>
        <v>Reactive</v>
      </c>
      <c r="I741" s="26">
        <f t="shared" ca="1" si="95"/>
        <v>0.11417249319674738</v>
      </c>
    </row>
    <row r="742" spans="1:9" x14ac:dyDescent="0.2">
      <c r="A742">
        <v>739</v>
      </c>
      <c r="B742" s="30">
        <f t="shared" ca="1" si="88"/>
        <v>0.77220572826136047</v>
      </c>
      <c r="C742" t="b">
        <f t="shared" ca="1" si="89"/>
        <v>0</v>
      </c>
      <c r="D742">
        <f t="shared" ca="1" si="90"/>
        <v>30</v>
      </c>
      <c r="E742">
        <f t="shared" ca="1" si="91"/>
        <v>30</v>
      </c>
      <c r="F742" s="26">
        <f t="shared" ca="1" si="92"/>
        <v>4561.0226350400053</v>
      </c>
      <c r="G742" s="26">
        <f t="shared" ca="1" si="93"/>
        <v>4560.1009548964776</v>
      </c>
      <c r="H742" t="str">
        <f t="shared" ca="1" si="94"/>
        <v>Reactive</v>
      </c>
      <c r="I742" s="26">
        <f t="shared" ca="1" si="95"/>
        <v>0.92168014352773753</v>
      </c>
    </row>
    <row r="743" spans="1:9" x14ac:dyDescent="0.2">
      <c r="A743">
        <v>740</v>
      </c>
      <c r="B743" s="30">
        <f t="shared" ca="1" si="88"/>
        <v>0.91680389175791965</v>
      </c>
      <c r="C743" t="b">
        <f t="shared" ca="1" si="89"/>
        <v>0</v>
      </c>
      <c r="D743">
        <f t="shared" ca="1" si="90"/>
        <v>29</v>
      </c>
      <c r="E743">
        <f t="shared" ca="1" si="91"/>
        <v>30</v>
      </c>
      <c r="F743" s="26">
        <f t="shared" ca="1" si="92"/>
        <v>4559.3163830921094</v>
      </c>
      <c r="G743" s="26">
        <f t="shared" ca="1" si="93"/>
        <v>4560.2478135382435</v>
      </c>
      <c r="H743" t="str">
        <f t="shared" ca="1" si="94"/>
        <v>Static</v>
      </c>
      <c r="I743" s="26">
        <f t="shared" ca="1" si="95"/>
        <v>-0.93143044613407255</v>
      </c>
    </row>
    <row r="744" spans="1:9" x14ac:dyDescent="0.2">
      <c r="A744">
        <v>741</v>
      </c>
      <c r="B744" s="30">
        <f t="shared" ca="1" si="88"/>
        <v>0.89691455819813037</v>
      </c>
      <c r="C744" t="b">
        <f t="shared" ca="1" si="89"/>
        <v>0</v>
      </c>
      <c r="D744">
        <f t="shared" ca="1" si="90"/>
        <v>27</v>
      </c>
      <c r="E744">
        <f t="shared" ca="1" si="91"/>
        <v>30</v>
      </c>
      <c r="F744" s="26">
        <f t="shared" ca="1" si="92"/>
        <v>4559.2161624262408</v>
      </c>
      <c r="G744" s="26">
        <f t="shared" ca="1" si="93"/>
        <v>4560.9368356973955</v>
      </c>
      <c r="H744" t="str">
        <f t="shared" ca="1" si="94"/>
        <v>Static</v>
      </c>
      <c r="I744" s="26">
        <f t="shared" ca="1" si="95"/>
        <v>-1.7206732711547374</v>
      </c>
    </row>
    <row r="745" spans="1:9" x14ac:dyDescent="0.2">
      <c r="A745">
        <v>742</v>
      </c>
      <c r="B745" s="30">
        <f t="shared" ca="1" si="88"/>
        <v>0.63738868004158999</v>
      </c>
      <c r="C745" t="b">
        <f t="shared" ca="1" si="89"/>
        <v>0</v>
      </c>
      <c r="D745">
        <f t="shared" ca="1" si="90"/>
        <v>26</v>
      </c>
      <c r="E745">
        <f t="shared" ca="1" si="91"/>
        <v>30</v>
      </c>
      <c r="F745" s="26">
        <f t="shared" ca="1" si="92"/>
        <v>4558.634075893382</v>
      </c>
      <c r="G745" s="26">
        <f t="shared" ca="1" si="93"/>
        <v>4561.6938633893733</v>
      </c>
      <c r="H745" t="str">
        <f t="shared" ca="1" si="94"/>
        <v>Static</v>
      </c>
      <c r="I745" s="26">
        <f t="shared" ca="1" si="95"/>
        <v>-3.0597874959912588</v>
      </c>
    </row>
    <row r="746" spans="1:9" x14ac:dyDescent="0.2">
      <c r="A746">
        <v>743</v>
      </c>
      <c r="B746" s="30">
        <f t="shared" ca="1" si="88"/>
        <v>0.11639835313520452</v>
      </c>
      <c r="C746" t="b">
        <f t="shared" ca="1" si="89"/>
        <v>1</v>
      </c>
      <c r="D746">
        <f t="shared" ca="1" si="90"/>
        <v>28</v>
      </c>
      <c r="E746">
        <f t="shared" ca="1" si="91"/>
        <v>28</v>
      </c>
      <c r="F746" s="26">
        <f t="shared" ca="1" si="92"/>
        <v>4560.1378131624451</v>
      </c>
      <c r="G746" s="26">
        <f t="shared" ca="1" si="93"/>
        <v>4540.192202227312</v>
      </c>
      <c r="H746" t="str">
        <f t="shared" ca="1" si="94"/>
        <v>Reactive</v>
      </c>
      <c r="I746" s="26">
        <f t="shared" ca="1" si="95"/>
        <v>19.945610935133118</v>
      </c>
    </row>
    <row r="747" spans="1:9" x14ac:dyDescent="0.2">
      <c r="A747">
        <v>744</v>
      </c>
      <c r="B747" s="30">
        <f t="shared" ca="1" si="88"/>
        <v>0.63617287048794557</v>
      </c>
      <c r="C747" t="b">
        <f t="shared" ca="1" si="89"/>
        <v>0</v>
      </c>
      <c r="D747">
        <f t="shared" ca="1" si="90"/>
        <v>26</v>
      </c>
      <c r="E747">
        <f t="shared" ca="1" si="91"/>
        <v>30</v>
      </c>
      <c r="F747" s="26">
        <f t="shared" ca="1" si="92"/>
        <v>4557.1868076871597</v>
      </c>
      <c r="G747" s="26">
        <f t="shared" ca="1" si="93"/>
        <v>4560.497670970828</v>
      </c>
      <c r="H747" t="str">
        <f t="shared" ca="1" si="94"/>
        <v>Static</v>
      </c>
      <c r="I747" s="26">
        <f t="shared" ca="1" si="95"/>
        <v>-3.3108632836683682</v>
      </c>
    </row>
    <row r="748" spans="1:9" x14ac:dyDescent="0.2">
      <c r="A748">
        <v>745</v>
      </c>
      <c r="B748" s="30">
        <f t="shared" ca="1" si="88"/>
        <v>0.78465604278068624</v>
      </c>
      <c r="C748" t="b">
        <f t="shared" ca="1" si="89"/>
        <v>0</v>
      </c>
      <c r="D748">
        <f t="shared" ca="1" si="90"/>
        <v>28</v>
      </c>
      <c r="E748">
        <f t="shared" ca="1" si="91"/>
        <v>30</v>
      </c>
      <c r="F748" s="26">
        <f t="shared" ca="1" si="92"/>
        <v>4560.0514068828988</v>
      </c>
      <c r="G748" s="26">
        <f t="shared" ca="1" si="93"/>
        <v>4560.8773354903778</v>
      </c>
      <c r="H748" t="str">
        <f t="shared" ca="1" si="94"/>
        <v>Static</v>
      </c>
      <c r="I748" s="26">
        <f t="shared" ca="1" si="95"/>
        <v>-0.82592860747899977</v>
      </c>
    </row>
    <row r="749" spans="1:9" x14ac:dyDescent="0.2">
      <c r="A749">
        <v>746</v>
      </c>
      <c r="B749" s="30">
        <f t="shared" ca="1" si="88"/>
        <v>0.75769548175390677</v>
      </c>
      <c r="C749" t="b">
        <f t="shared" ca="1" si="89"/>
        <v>0</v>
      </c>
      <c r="D749">
        <f t="shared" ca="1" si="90"/>
        <v>28</v>
      </c>
      <c r="E749">
        <f t="shared" ca="1" si="91"/>
        <v>30</v>
      </c>
      <c r="F749" s="26">
        <f t="shared" ca="1" si="92"/>
        <v>4558.8701555112648</v>
      </c>
      <c r="G749" s="26">
        <f t="shared" ca="1" si="93"/>
        <v>4561.5843745432776</v>
      </c>
      <c r="H749" t="str">
        <f t="shared" ca="1" si="94"/>
        <v>Static</v>
      </c>
      <c r="I749" s="26">
        <f t="shared" ca="1" si="95"/>
        <v>-2.7142190320128066</v>
      </c>
    </row>
    <row r="750" spans="1:9" x14ac:dyDescent="0.2">
      <c r="A750">
        <v>747</v>
      </c>
      <c r="B750" s="30">
        <f t="shared" ca="1" si="88"/>
        <v>0.37977923899827992</v>
      </c>
      <c r="C750" t="b">
        <f t="shared" ca="1" si="89"/>
        <v>0</v>
      </c>
      <c r="D750">
        <f t="shared" ca="1" si="90"/>
        <v>27</v>
      </c>
      <c r="E750">
        <f t="shared" ca="1" si="91"/>
        <v>30</v>
      </c>
      <c r="F750" s="26">
        <f t="shared" ca="1" si="92"/>
        <v>4557.0728241970364</v>
      </c>
      <c r="G750" s="26">
        <f t="shared" ca="1" si="93"/>
        <v>4559.9584954669499</v>
      </c>
      <c r="H750" t="str">
        <f t="shared" ca="1" si="94"/>
        <v>Static</v>
      </c>
      <c r="I750" s="26">
        <f t="shared" ca="1" si="95"/>
        <v>-2.8856712699134732</v>
      </c>
    </row>
    <row r="751" spans="1:9" x14ac:dyDescent="0.2">
      <c r="A751">
        <v>748</v>
      </c>
      <c r="B751" s="30">
        <f t="shared" ca="1" si="88"/>
        <v>0.81584719835075892</v>
      </c>
      <c r="C751" t="b">
        <f t="shared" ca="1" si="89"/>
        <v>0</v>
      </c>
      <c r="D751">
        <f t="shared" ca="1" si="90"/>
        <v>27</v>
      </c>
      <c r="E751">
        <f t="shared" ca="1" si="91"/>
        <v>30</v>
      </c>
      <c r="F751" s="26">
        <f t="shared" ca="1" si="92"/>
        <v>4559.931588733064</v>
      </c>
      <c r="G751" s="26">
        <f t="shared" ca="1" si="93"/>
        <v>4559.6684217541733</v>
      </c>
      <c r="H751" t="str">
        <f t="shared" ca="1" si="94"/>
        <v>Reactive</v>
      </c>
      <c r="I751" s="26">
        <f t="shared" ca="1" si="95"/>
        <v>0.26316697889069474</v>
      </c>
    </row>
    <row r="752" spans="1:9" x14ac:dyDescent="0.2">
      <c r="A752">
        <v>749</v>
      </c>
      <c r="B752" s="30">
        <f t="shared" ca="1" si="88"/>
        <v>0.69830226467849554</v>
      </c>
      <c r="C752" t="b">
        <f t="shared" ca="1" si="89"/>
        <v>0</v>
      </c>
      <c r="D752">
        <f t="shared" ca="1" si="90"/>
        <v>29</v>
      </c>
      <c r="E752">
        <f t="shared" ca="1" si="91"/>
        <v>30</v>
      </c>
      <c r="F752" s="26">
        <f t="shared" ca="1" si="92"/>
        <v>4558.8345462055404</v>
      </c>
      <c r="G752" s="26">
        <f t="shared" ca="1" si="93"/>
        <v>4559.5697317331624</v>
      </c>
      <c r="H752" t="str">
        <f t="shared" ca="1" si="94"/>
        <v>Static</v>
      </c>
      <c r="I752" s="26">
        <f t="shared" ca="1" si="95"/>
        <v>-0.73518552762197942</v>
      </c>
    </row>
    <row r="753" spans="1:9" x14ac:dyDescent="0.2">
      <c r="A753">
        <v>750</v>
      </c>
      <c r="B753" s="30">
        <f t="shared" ca="1" si="88"/>
        <v>0.86118069980404455</v>
      </c>
      <c r="C753" t="b">
        <f t="shared" ca="1" si="89"/>
        <v>0</v>
      </c>
      <c r="D753">
        <f t="shared" ca="1" si="90"/>
        <v>28</v>
      </c>
      <c r="E753">
        <f t="shared" ca="1" si="91"/>
        <v>30</v>
      </c>
      <c r="F753" s="26">
        <f t="shared" ca="1" si="92"/>
        <v>4560.1756336219896</v>
      </c>
      <c r="G753" s="26">
        <f t="shared" ca="1" si="93"/>
        <v>4560.9702672996918</v>
      </c>
      <c r="H753" t="str">
        <f t="shared" ca="1" si="94"/>
        <v>Static</v>
      </c>
      <c r="I753" s="26">
        <f t="shared" ca="1" si="95"/>
        <v>-0.79463367770222249</v>
      </c>
    </row>
    <row r="754" spans="1:9" x14ac:dyDescent="0.2">
      <c r="A754">
        <v>751</v>
      </c>
      <c r="B754" s="30">
        <f t="shared" ca="1" si="88"/>
        <v>0.74776274581203461</v>
      </c>
      <c r="C754" t="b">
        <f t="shared" ca="1" si="89"/>
        <v>0</v>
      </c>
      <c r="D754">
        <f t="shared" ca="1" si="90"/>
        <v>29</v>
      </c>
      <c r="E754">
        <f t="shared" ca="1" si="91"/>
        <v>30</v>
      </c>
      <c r="F754" s="26">
        <f t="shared" ca="1" si="92"/>
        <v>4559.9131464245247</v>
      </c>
      <c r="G754" s="26">
        <f t="shared" ca="1" si="93"/>
        <v>4559.6425518414653</v>
      </c>
      <c r="H754" t="str">
        <f t="shared" ca="1" si="94"/>
        <v>Reactive</v>
      </c>
      <c r="I754" s="26">
        <f t="shared" ca="1" si="95"/>
        <v>0.27059458305939188</v>
      </c>
    </row>
    <row r="755" spans="1:9" x14ac:dyDescent="0.2">
      <c r="A755">
        <v>752</v>
      </c>
      <c r="B755" s="30">
        <f t="shared" ca="1" si="88"/>
        <v>0.3969512349181411</v>
      </c>
      <c r="C755" t="b">
        <f t="shared" ca="1" si="89"/>
        <v>0</v>
      </c>
      <c r="D755">
        <f t="shared" ca="1" si="90"/>
        <v>30</v>
      </c>
      <c r="E755">
        <f t="shared" ca="1" si="91"/>
        <v>30</v>
      </c>
      <c r="F755" s="26">
        <f t="shared" ca="1" si="92"/>
        <v>4559.4470332887986</v>
      </c>
      <c r="G755" s="26">
        <f t="shared" ca="1" si="93"/>
        <v>4560.0548756555027</v>
      </c>
      <c r="H755" t="str">
        <f t="shared" ca="1" si="94"/>
        <v>Static</v>
      </c>
      <c r="I755" s="26">
        <f t="shared" ca="1" si="95"/>
        <v>-0.60784236670406244</v>
      </c>
    </row>
    <row r="756" spans="1:9" x14ac:dyDescent="0.2">
      <c r="A756">
        <v>753</v>
      </c>
      <c r="B756" s="30">
        <f t="shared" ca="1" si="88"/>
        <v>0.94474496393715846</v>
      </c>
      <c r="C756" t="b">
        <f t="shared" ca="1" si="89"/>
        <v>0</v>
      </c>
      <c r="D756">
        <f t="shared" ca="1" si="90"/>
        <v>28</v>
      </c>
      <c r="E756">
        <f t="shared" ca="1" si="91"/>
        <v>30</v>
      </c>
      <c r="F756" s="26">
        <f t="shared" ca="1" si="92"/>
        <v>4558.0623915930473</v>
      </c>
      <c r="G756" s="26">
        <f t="shared" ca="1" si="93"/>
        <v>4561.0049688652289</v>
      </c>
      <c r="H756" t="str">
        <f t="shared" ca="1" si="94"/>
        <v>Static</v>
      </c>
      <c r="I756" s="26">
        <f t="shared" ca="1" si="95"/>
        <v>-2.942577272181552</v>
      </c>
    </row>
    <row r="757" spans="1:9" x14ac:dyDescent="0.2">
      <c r="A757">
        <v>754</v>
      </c>
      <c r="B757" s="30">
        <f t="shared" ca="1" si="88"/>
        <v>2.267272592638192E-2</v>
      </c>
      <c r="C757" t="b">
        <f t="shared" ca="1" si="89"/>
        <v>1</v>
      </c>
      <c r="D757">
        <f t="shared" ca="1" si="90"/>
        <v>29</v>
      </c>
      <c r="E757">
        <f t="shared" ca="1" si="91"/>
        <v>29</v>
      </c>
      <c r="F757" s="26">
        <f t="shared" ca="1" si="92"/>
        <v>4560.5919079124305</v>
      </c>
      <c r="G757" s="26">
        <f t="shared" ca="1" si="93"/>
        <v>4543.0697445744572</v>
      </c>
      <c r="H757" t="str">
        <f t="shared" ca="1" si="94"/>
        <v>Reactive</v>
      </c>
      <c r="I757" s="26">
        <f t="shared" ca="1" si="95"/>
        <v>17.522163337973325</v>
      </c>
    </row>
    <row r="758" spans="1:9" x14ac:dyDescent="0.2">
      <c r="A758">
        <v>755</v>
      </c>
      <c r="B758" s="30">
        <f t="shared" ca="1" si="88"/>
        <v>2.2422106631634575E-2</v>
      </c>
      <c r="C758" t="b">
        <f t="shared" ca="1" si="89"/>
        <v>1</v>
      </c>
      <c r="D758">
        <f t="shared" ca="1" si="90"/>
        <v>26</v>
      </c>
      <c r="E758">
        <f t="shared" ca="1" si="91"/>
        <v>26</v>
      </c>
      <c r="F758" s="26">
        <f t="shared" ca="1" si="92"/>
        <v>4557.8681787855776</v>
      </c>
      <c r="G758" s="26">
        <f t="shared" ca="1" si="93"/>
        <v>4543.4568447300671</v>
      </c>
      <c r="H758" t="str">
        <f t="shared" ca="1" si="94"/>
        <v>Reactive</v>
      </c>
      <c r="I758" s="26">
        <f t="shared" ca="1" si="95"/>
        <v>14.411334055510451</v>
      </c>
    </row>
    <row r="759" spans="1:9" x14ac:dyDescent="0.2">
      <c r="A759">
        <v>756</v>
      </c>
      <c r="B759" s="30">
        <f t="shared" ca="1" si="88"/>
        <v>0.94923172747184514</v>
      </c>
      <c r="C759" t="b">
        <f t="shared" ca="1" si="89"/>
        <v>0</v>
      </c>
      <c r="D759">
        <f t="shared" ca="1" si="90"/>
        <v>27</v>
      </c>
      <c r="E759">
        <f t="shared" ca="1" si="91"/>
        <v>30</v>
      </c>
      <c r="F759" s="26">
        <f t="shared" ca="1" si="92"/>
        <v>4560.2421356246005</v>
      </c>
      <c r="G759" s="26">
        <f t="shared" ca="1" si="93"/>
        <v>4559.4007106382678</v>
      </c>
      <c r="H759" t="str">
        <f t="shared" ca="1" si="94"/>
        <v>Reactive</v>
      </c>
      <c r="I759" s="26">
        <f t="shared" ca="1" si="95"/>
        <v>0.8414249863326404</v>
      </c>
    </row>
    <row r="760" spans="1:9" x14ac:dyDescent="0.2">
      <c r="A760">
        <v>757</v>
      </c>
      <c r="B760" s="30">
        <f t="shared" ca="1" si="88"/>
        <v>0.50813872750905675</v>
      </c>
      <c r="C760" t="b">
        <f t="shared" ca="1" si="89"/>
        <v>0</v>
      </c>
      <c r="D760">
        <f t="shared" ca="1" si="90"/>
        <v>29</v>
      </c>
      <c r="E760">
        <f t="shared" ca="1" si="91"/>
        <v>30</v>
      </c>
      <c r="F760" s="26">
        <f t="shared" ca="1" si="92"/>
        <v>4559.8896810586439</v>
      </c>
      <c r="G760" s="26">
        <f t="shared" ca="1" si="93"/>
        <v>4561.6016338714517</v>
      </c>
      <c r="H760" t="str">
        <f t="shared" ca="1" si="94"/>
        <v>Static</v>
      </c>
      <c r="I760" s="26">
        <f t="shared" ca="1" si="95"/>
        <v>-1.7119528128077945</v>
      </c>
    </row>
    <row r="761" spans="1:9" x14ac:dyDescent="0.2">
      <c r="A761">
        <v>758</v>
      </c>
      <c r="B761" s="30">
        <f t="shared" ca="1" si="88"/>
        <v>9.444876133219382E-2</v>
      </c>
      <c r="C761" t="b">
        <f t="shared" ca="1" si="89"/>
        <v>1</v>
      </c>
      <c r="D761">
        <f t="shared" ca="1" si="90"/>
        <v>27</v>
      </c>
      <c r="E761">
        <f t="shared" ca="1" si="91"/>
        <v>27</v>
      </c>
      <c r="F761" s="26">
        <f t="shared" ca="1" si="92"/>
        <v>4558.0893479954784</v>
      </c>
      <c r="G761" s="26">
        <f t="shared" ca="1" si="93"/>
        <v>4540.4838064397045</v>
      </c>
      <c r="H761" t="str">
        <f t="shared" ca="1" si="94"/>
        <v>Reactive</v>
      </c>
      <c r="I761" s="26">
        <f t="shared" ca="1" si="95"/>
        <v>17.605541555773925</v>
      </c>
    </row>
    <row r="762" spans="1:9" x14ac:dyDescent="0.2">
      <c r="A762">
        <v>759</v>
      </c>
      <c r="B762" s="30">
        <f t="shared" ca="1" si="88"/>
        <v>0.12716939762410051</v>
      </c>
      <c r="C762" t="b">
        <f t="shared" ca="1" si="89"/>
        <v>1</v>
      </c>
      <c r="D762">
        <f t="shared" ca="1" si="90"/>
        <v>28</v>
      </c>
      <c r="E762">
        <f t="shared" ca="1" si="91"/>
        <v>28</v>
      </c>
      <c r="F762" s="26">
        <f t="shared" ca="1" si="92"/>
        <v>4559.0558263394505</v>
      </c>
      <c r="G762" s="26">
        <f t="shared" ca="1" si="93"/>
        <v>4541.4934196980412</v>
      </c>
      <c r="H762" t="str">
        <f t="shared" ca="1" si="94"/>
        <v>Reactive</v>
      </c>
      <c r="I762" s="26">
        <f t="shared" ca="1" si="95"/>
        <v>17.562406641409325</v>
      </c>
    </row>
    <row r="763" spans="1:9" x14ac:dyDescent="0.2">
      <c r="A763">
        <v>760</v>
      </c>
      <c r="B763" s="30">
        <f t="shared" ca="1" si="88"/>
        <v>0.85141130538602605</v>
      </c>
      <c r="C763" t="b">
        <f t="shared" ca="1" si="89"/>
        <v>0</v>
      </c>
      <c r="D763">
        <f t="shared" ca="1" si="90"/>
        <v>28</v>
      </c>
      <c r="E763">
        <f t="shared" ca="1" si="91"/>
        <v>30</v>
      </c>
      <c r="F763" s="26">
        <f t="shared" ca="1" si="92"/>
        <v>4558.588851632986</v>
      </c>
      <c r="G763" s="26">
        <f t="shared" ca="1" si="93"/>
        <v>4560.9214865399499</v>
      </c>
      <c r="H763" t="str">
        <f t="shared" ca="1" si="94"/>
        <v>Static</v>
      </c>
      <c r="I763" s="26">
        <f t="shared" ca="1" si="95"/>
        <v>-2.3326349069639036</v>
      </c>
    </row>
    <row r="764" spans="1:9" x14ac:dyDescent="0.2">
      <c r="A764">
        <v>761</v>
      </c>
      <c r="B764" s="30">
        <f t="shared" ca="1" si="88"/>
        <v>0.5635318340979516</v>
      </c>
      <c r="C764" t="b">
        <f t="shared" ca="1" si="89"/>
        <v>0</v>
      </c>
      <c r="D764">
        <f t="shared" ca="1" si="90"/>
        <v>27</v>
      </c>
      <c r="E764">
        <f t="shared" ca="1" si="91"/>
        <v>30</v>
      </c>
      <c r="F764" s="26">
        <f t="shared" ca="1" si="92"/>
        <v>4559.6512284483206</v>
      </c>
      <c r="G764" s="26">
        <f t="shared" ca="1" si="93"/>
        <v>4560.0499112248453</v>
      </c>
      <c r="H764" t="str">
        <f t="shared" ca="1" si="94"/>
        <v>Static</v>
      </c>
      <c r="I764" s="26">
        <f t="shared" ca="1" si="95"/>
        <v>-0.39868277652476536</v>
      </c>
    </row>
    <row r="765" spans="1:9" x14ac:dyDescent="0.2">
      <c r="A765">
        <v>762</v>
      </c>
      <c r="B765" s="30">
        <f t="shared" ca="1" si="88"/>
        <v>0.56243922094884302</v>
      </c>
      <c r="C765" t="b">
        <f t="shared" ca="1" si="89"/>
        <v>0</v>
      </c>
      <c r="D765">
        <f t="shared" ca="1" si="90"/>
        <v>27</v>
      </c>
      <c r="E765">
        <f t="shared" ca="1" si="91"/>
        <v>30</v>
      </c>
      <c r="F765" s="26">
        <f t="shared" ca="1" si="92"/>
        <v>4559.7913915679619</v>
      </c>
      <c r="G765" s="26">
        <f t="shared" ca="1" si="93"/>
        <v>4558.5746264291092</v>
      </c>
      <c r="H765" t="str">
        <f t="shared" ca="1" si="94"/>
        <v>Reactive</v>
      </c>
      <c r="I765" s="26">
        <f t="shared" ca="1" si="95"/>
        <v>1.2167651388526792</v>
      </c>
    </row>
    <row r="766" spans="1:9" x14ac:dyDescent="0.2">
      <c r="A766">
        <v>763</v>
      </c>
      <c r="B766" s="30">
        <f t="shared" ca="1" si="88"/>
        <v>0.28580948587972976</v>
      </c>
      <c r="C766" t="b">
        <f t="shared" ca="1" si="89"/>
        <v>1</v>
      </c>
      <c r="D766">
        <f t="shared" ca="1" si="90"/>
        <v>27</v>
      </c>
      <c r="E766">
        <f t="shared" ca="1" si="91"/>
        <v>27</v>
      </c>
      <c r="F766" s="26">
        <f t="shared" ca="1" si="92"/>
        <v>4559.1918816371772</v>
      </c>
      <c r="G766" s="26">
        <f t="shared" ca="1" si="93"/>
        <v>4542.046929340765</v>
      </c>
      <c r="H766" t="str">
        <f t="shared" ca="1" si="94"/>
        <v>Reactive</v>
      </c>
      <c r="I766" s="26">
        <f t="shared" ca="1" si="95"/>
        <v>17.144952296412157</v>
      </c>
    </row>
    <row r="767" spans="1:9" x14ac:dyDescent="0.2">
      <c r="A767">
        <v>764</v>
      </c>
      <c r="B767" s="30">
        <f t="shared" ca="1" si="88"/>
        <v>0.29587505251882962</v>
      </c>
      <c r="C767" t="b">
        <f t="shared" ca="1" si="89"/>
        <v>1</v>
      </c>
      <c r="D767">
        <f t="shared" ca="1" si="90"/>
        <v>30</v>
      </c>
      <c r="E767">
        <f t="shared" ca="1" si="91"/>
        <v>30</v>
      </c>
      <c r="F767" s="26">
        <f t="shared" ca="1" si="92"/>
        <v>4559.5054187418464</v>
      </c>
      <c r="G767" s="26">
        <f t="shared" ca="1" si="93"/>
        <v>4543.3916117198441</v>
      </c>
      <c r="H767" t="str">
        <f t="shared" ca="1" si="94"/>
        <v>Reactive</v>
      </c>
      <c r="I767" s="26">
        <f t="shared" ca="1" si="95"/>
        <v>16.11380702200222</v>
      </c>
    </row>
    <row r="768" spans="1:9" x14ac:dyDescent="0.2">
      <c r="A768">
        <v>765</v>
      </c>
      <c r="B768" s="30">
        <f t="shared" ca="1" si="88"/>
        <v>0.67622112827324909</v>
      </c>
      <c r="C768" t="b">
        <f t="shared" ca="1" si="89"/>
        <v>0</v>
      </c>
      <c r="D768">
        <f t="shared" ca="1" si="90"/>
        <v>30</v>
      </c>
      <c r="E768">
        <f t="shared" ca="1" si="91"/>
        <v>30</v>
      </c>
      <c r="F768" s="26">
        <f t="shared" ca="1" si="92"/>
        <v>4559.4695729576624</v>
      </c>
      <c r="G768" s="26">
        <f t="shared" ca="1" si="93"/>
        <v>4560.9405067606522</v>
      </c>
      <c r="H768" t="str">
        <f t="shared" ca="1" si="94"/>
        <v>Static</v>
      </c>
      <c r="I768" s="26">
        <f t="shared" ca="1" si="95"/>
        <v>-1.4709338029897481</v>
      </c>
    </row>
    <row r="769" spans="1:9" x14ac:dyDescent="0.2">
      <c r="A769">
        <v>766</v>
      </c>
      <c r="B769" s="30">
        <f t="shared" ca="1" si="88"/>
        <v>0.55435253420660413</v>
      </c>
      <c r="C769" t="b">
        <f t="shared" ca="1" si="89"/>
        <v>0</v>
      </c>
      <c r="D769">
        <f t="shared" ca="1" si="90"/>
        <v>26</v>
      </c>
      <c r="E769">
        <f t="shared" ca="1" si="91"/>
        <v>30</v>
      </c>
      <c r="F769" s="26">
        <f t="shared" ca="1" si="92"/>
        <v>4559.3571055143839</v>
      </c>
      <c r="G769" s="26">
        <f t="shared" ca="1" si="93"/>
        <v>4560.412857559174</v>
      </c>
      <c r="H769" t="str">
        <f t="shared" ca="1" si="94"/>
        <v>Static</v>
      </c>
      <c r="I769" s="26">
        <f t="shared" ca="1" si="95"/>
        <v>-1.055752044790097</v>
      </c>
    </row>
    <row r="770" spans="1:9" x14ac:dyDescent="0.2">
      <c r="A770">
        <v>767</v>
      </c>
      <c r="B770" s="30">
        <f t="shared" ca="1" si="88"/>
        <v>0.98638716353052447</v>
      </c>
      <c r="C770" t="b">
        <f t="shared" ca="1" si="89"/>
        <v>0</v>
      </c>
      <c r="D770">
        <f t="shared" ca="1" si="90"/>
        <v>28</v>
      </c>
      <c r="E770">
        <f t="shared" ca="1" si="91"/>
        <v>30</v>
      </c>
      <c r="F770" s="26">
        <f t="shared" ca="1" si="92"/>
        <v>4559.5290839826457</v>
      </c>
      <c r="G770" s="26">
        <f t="shared" ca="1" si="93"/>
        <v>4560.8846013634084</v>
      </c>
      <c r="H770" t="str">
        <f t="shared" ca="1" si="94"/>
        <v>Static</v>
      </c>
      <c r="I770" s="26">
        <f t="shared" ca="1" si="95"/>
        <v>-1.3555173807626488</v>
      </c>
    </row>
    <row r="771" spans="1:9" x14ac:dyDescent="0.2">
      <c r="A771">
        <v>768</v>
      </c>
      <c r="B771" s="30">
        <f t="shared" ca="1" si="88"/>
        <v>0.9584287750917706</v>
      </c>
      <c r="C771" t="b">
        <f t="shared" ca="1" si="89"/>
        <v>0</v>
      </c>
      <c r="D771">
        <f t="shared" ca="1" si="90"/>
        <v>28</v>
      </c>
      <c r="E771">
        <f t="shared" ca="1" si="91"/>
        <v>30</v>
      </c>
      <c r="F771" s="26">
        <f t="shared" ca="1" si="92"/>
        <v>4559.8071510916943</v>
      </c>
      <c r="G771" s="26">
        <f t="shared" ca="1" si="93"/>
        <v>4559.939620919733</v>
      </c>
      <c r="H771" t="str">
        <f t="shared" ca="1" si="94"/>
        <v>Static</v>
      </c>
      <c r="I771" s="26">
        <f t="shared" ca="1" si="95"/>
        <v>-0.13246982803866558</v>
      </c>
    </row>
    <row r="772" spans="1:9" x14ac:dyDescent="0.2">
      <c r="A772">
        <v>769</v>
      </c>
      <c r="B772" s="30">
        <f t="shared" ref="B772:B835" ca="1" si="96">RAND()</f>
        <v>0.2180575651520168</v>
      </c>
      <c r="C772" t="b">
        <f t="shared" ref="C772:C835" ca="1" si="97">B772&lt;ProbSC</f>
        <v>1</v>
      </c>
      <c r="D772">
        <f t="shared" ref="D772:D835" ca="1" si="98">ReactMin+INT(RAND()*(ReactMax-ReactMin+1))</f>
        <v>27</v>
      </c>
      <c r="E772">
        <f t="shared" ref="E772:E835" ca="1" si="99">IF(C772,D772,MustLap)</f>
        <v>27</v>
      </c>
      <c r="F772" s="26">
        <f t="shared" ref="F772:F835" ca="1" si="100">BaseLap*Laps+Deg*(PlanLap*(PlanLap-1)/2+(Laps-PlanLap)*(Laps-PlanLap-1)/2)+PitGreen+NORMINV(RAND(),0,NoiseSD)</f>
        <v>4559.8218063181394</v>
      </c>
      <c r="G772" s="26">
        <f t="shared" ref="G772:G835" ca="1" si="101">BaseLap*Laps+Deg*(E772*(E772-1)/2+(Laps-E772)*(Laps-E772-1)/2)+IF(C772,PitSC,PitGreen)+NORMINV(RAND(),0,NoiseSD)</f>
        <v>4542.5429749772447</v>
      </c>
      <c r="H772" t="str">
        <f t="shared" ref="H772:H835" ca="1" si="102">IF(F772&lt;G772,"Static","Reactive")</f>
        <v>Reactive</v>
      </c>
      <c r="I772" s="26">
        <f t="shared" ref="I772:I835" ca="1" si="103">F772-G772</f>
        <v>17.278831340894612</v>
      </c>
    </row>
    <row r="773" spans="1:9" x14ac:dyDescent="0.2">
      <c r="A773">
        <v>770</v>
      </c>
      <c r="B773" s="30">
        <f t="shared" ca="1" si="96"/>
        <v>0.84552673564655745</v>
      </c>
      <c r="C773" t="b">
        <f t="shared" ca="1" si="97"/>
        <v>0</v>
      </c>
      <c r="D773">
        <f t="shared" ca="1" si="98"/>
        <v>27</v>
      </c>
      <c r="E773">
        <f t="shared" ca="1" si="99"/>
        <v>30</v>
      </c>
      <c r="F773" s="26">
        <f t="shared" ca="1" si="100"/>
        <v>4559.5955101442642</v>
      </c>
      <c r="G773" s="26">
        <f t="shared" ca="1" si="101"/>
        <v>4558.314533896275</v>
      </c>
      <c r="H773" t="str">
        <f t="shared" ca="1" si="102"/>
        <v>Reactive</v>
      </c>
      <c r="I773" s="26">
        <f t="shared" ca="1" si="103"/>
        <v>1.2809762479892015</v>
      </c>
    </row>
    <row r="774" spans="1:9" x14ac:dyDescent="0.2">
      <c r="A774">
        <v>771</v>
      </c>
      <c r="B774" s="30">
        <f t="shared" ca="1" si="96"/>
        <v>0.51864996707465294</v>
      </c>
      <c r="C774" t="b">
        <f t="shared" ca="1" si="97"/>
        <v>0</v>
      </c>
      <c r="D774">
        <f t="shared" ca="1" si="98"/>
        <v>30</v>
      </c>
      <c r="E774">
        <f t="shared" ca="1" si="99"/>
        <v>30</v>
      </c>
      <c r="F774" s="26">
        <f t="shared" ca="1" si="100"/>
        <v>4559.6449404247905</v>
      </c>
      <c r="G774" s="26">
        <f t="shared" ca="1" si="101"/>
        <v>4560.3684335835524</v>
      </c>
      <c r="H774" t="str">
        <f t="shared" ca="1" si="102"/>
        <v>Static</v>
      </c>
      <c r="I774" s="26">
        <f t="shared" ca="1" si="103"/>
        <v>-0.72349315876181208</v>
      </c>
    </row>
    <row r="775" spans="1:9" x14ac:dyDescent="0.2">
      <c r="A775">
        <v>772</v>
      </c>
      <c r="B775" s="30">
        <f t="shared" ca="1" si="96"/>
        <v>0.48791579889541525</v>
      </c>
      <c r="C775" t="b">
        <f t="shared" ca="1" si="97"/>
        <v>0</v>
      </c>
      <c r="D775">
        <f t="shared" ca="1" si="98"/>
        <v>28</v>
      </c>
      <c r="E775">
        <f t="shared" ca="1" si="99"/>
        <v>30</v>
      </c>
      <c r="F775" s="26">
        <f t="shared" ca="1" si="100"/>
        <v>4559.7656843558516</v>
      </c>
      <c r="G775" s="26">
        <f t="shared" ca="1" si="101"/>
        <v>4559.565375154406</v>
      </c>
      <c r="H775" t="str">
        <f t="shared" ca="1" si="102"/>
        <v>Reactive</v>
      </c>
      <c r="I775" s="26">
        <f t="shared" ca="1" si="103"/>
        <v>0.20030920144563424</v>
      </c>
    </row>
    <row r="776" spans="1:9" x14ac:dyDescent="0.2">
      <c r="A776">
        <v>773</v>
      </c>
      <c r="B776" s="30">
        <f t="shared" ca="1" si="96"/>
        <v>0.33237072197586959</v>
      </c>
      <c r="C776" t="b">
        <f t="shared" ca="1" si="97"/>
        <v>1</v>
      </c>
      <c r="D776">
        <f t="shared" ca="1" si="98"/>
        <v>30</v>
      </c>
      <c r="E776">
        <f t="shared" ca="1" si="99"/>
        <v>30</v>
      </c>
      <c r="F776" s="26">
        <f t="shared" ca="1" si="100"/>
        <v>4560.0960458117033</v>
      </c>
      <c r="G776" s="26">
        <f t="shared" ca="1" si="101"/>
        <v>4544.6814971141193</v>
      </c>
      <c r="H776" t="str">
        <f t="shared" ca="1" si="102"/>
        <v>Reactive</v>
      </c>
      <c r="I776" s="26">
        <f t="shared" ca="1" si="103"/>
        <v>15.414548697583996</v>
      </c>
    </row>
    <row r="777" spans="1:9" x14ac:dyDescent="0.2">
      <c r="A777">
        <v>774</v>
      </c>
      <c r="B777" s="30">
        <f t="shared" ca="1" si="96"/>
        <v>7.5365906532374516E-2</v>
      </c>
      <c r="C777" t="b">
        <f t="shared" ca="1" si="97"/>
        <v>1</v>
      </c>
      <c r="D777">
        <f t="shared" ca="1" si="98"/>
        <v>27</v>
      </c>
      <c r="E777">
        <f t="shared" ca="1" si="99"/>
        <v>27</v>
      </c>
      <c r="F777" s="26">
        <f t="shared" ca="1" si="100"/>
        <v>4558.6415140275612</v>
      </c>
      <c r="G777" s="26">
        <f t="shared" ca="1" si="101"/>
        <v>4543.3425737009857</v>
      </c>
      <c r="H777" t="str">
        <f t="shared" ca="1" si="102"/>
        <v>Reactive</v>
      </c>
      <c r="I777" s="26">
        <f t="shared" ca="1" si="103"/>
        <v>15.298940326575575</v>
      </c>
    </row>
    <row r="778" spans="1:9" x14ac:dyDescent="0.2">
      <c r="A778">
        <v>775</v>
      </c>
      <c r="B778" s="30">
        <f t="shared" ca="1" si="96"/>
        <v>0.30315115871085607</v>
      </c>
      <c r="C778" t="b">
        <f t="shared" ca="1" si="97"/>
        <v>1</v>
      </c>
      <c r="D778">
        <f t="shared" ca="1" si="98"/>
        <v>27</v>
      </c>
      <c r="E778">
        <f t="shared" ca="1" si="99"/>
        <v>27</v>
      </c>
      <c r="F778" s="26">
        <f t="shared" ca="1" si="100"/>
        <v>4558.5187553935948</v>
      </c>
      <c r="G778" s="26">
        <f t="shared" ca="1" si="101"/>
        <v>4542.4612591889754</v>
      </c>
      <c r="H778" t="str">
        <f t="shared" ca="1" si="102"/>
        <v>Reactive</v>
      </c>
      <c r="I778" s="26">
        <f t="shared" ca="1" si="103"/>
        <v>16.057496204619383</v>
      </c>
    </row>
    <row r="779" spans="1:9" x14ac:dyDescent="0.2">
      <c r="A779">
        <v>776</v>
      </c>
      <c r="B779" s="30">
        <f t="shared" ca="1" si="96"/>
        <v>0.72962813354258449</v>
      </c>
      <c r="C779" t="b">
        <f t="shared" ca="1" si="97"/>
        <v>0</v>
      </c>
      <c r="D779">
        <f t="shared" ca="1" si="98"/>
        <v>30</v>
      </c>
      <c r="E779">
        <f t="shared" ca="1" si="99"/>
        <v>30</v>
      </c>
      <c r="F779" s="26">
        <f t="shared" ca="1" si="100"/>
        <v>4559.3858587648347</v>
      </c>
      <c r="G779" s="26">
        <f t="shared" ca="1" si="101"/>
        <v>4560.3716866064078</v>
      </c>
      <c r="H779" t="str">
        <f t="shared" ca="1" si="102"/>
        <v>Static</v>
      </c>
      <c r="I779" s="26">
        <f t="shared" ca="1" si="103"/>
        <v>-0.98582784157315473</v>
      </c>
    </row>
    <row r="780" spans="1:9" x14ac:dyDescent="0.2">
      <c r="A780">
        <v>777</v>
      </c>
      <c r="B780" s="30">
        <f t="shared" ca="1" si="96"/>
        <v>0.28037818625518929</v>
      </c>
      <c r="C780" t="b">
        <f t="shared" ca="1" si="97"/>
        <v>1</v>
      </c>
      <c r="D780">
        <f t="shared" ca="1" si="98"/>
        <v>29</v>
      </c>
      <c r="E780">
        <f t="shared" ca="1" si="99"/>
        <v>29</v>
      </c>
      <c r="F780" s="26">
        <f t="shared" ca="1" si="100"/>
        <v>4558.8392650441228</v>
      </c>
      <c r="G780" s="26">
        <f t="shared" ca="1" si="101"/>
        <v>4542.0430435445869</v>
      </c>
      <c r="H780" t="str">
        <f t="shared" ca="1" si="102"/>
        <v>Reactive</v>
      </c>
      <c r="I780" s="26">
        <f t="shared" ca="1" si="103"/>
        <v>16.796221499535932</v>
      </c>
    </row>
    <row r="781" spans="1:9" x14ac:dyDescent="0.2">
      <c r="A781">
        <v>778</v>
      </c>
      <c r="B781" s="30">
        <f t="shared" ca="1" si="96"/>
        <v>0.91919826884305944</v>
      </c>
      <c r="C781" t="b">
        <f t="shared" ca="1" si="97"/>
        <v>0</v>
      </c>
      <c r="D781">
        <f t="shared" ca="1" si="98"/>
        <v>26</v>
      </c>
      <c r="E781">
        <f t="shared" ca="1" si="99"/>
        <v>30</v>
      </c>
      <c r="F781" s="26">
        <f t="shared" ca="1" si="100"/>
        <v>4562.4114908072625</v>
      </c>
      <c r="G781" s="26">
        <f t="shared" ca="1" si="101"/>
        <v>4558.7672408631724</v>
      </c>
      <c r="H781" t="str">
        <f t="shared" ca="1" si="102"/>
        <v>Reactive</v>
      </c>
      <c r="I781" s="26">
        <f t="shared" ca="1" si="103"/>
        <v>3.6442499440900065</v>
      </c>
    </row>
    <row r="782" spans="1:9" x14ac:dyDescent="0.2">
      <c r="A782">
        <v>779</v>
      </c>
      <c r="B782" s="30">
        <f t="shared" ca="1" si="96"/>
        <v>0.47089999548752592</v>
      </c>
      <c r="C782" t="b">
        <f t="shared" ca="1" si="97"/>
        <v>0</v>
      </c>
      <c r="D782">
        <f t="shared" ca="1" si="98"/>
        <v>27</v>
      </c>
      <c r="E782">
        <f t="shared" ca="1" si="99"/>
        <v>30</v>
      </c>
      <c r="F782" s="26">
        <f t="shared" ca="1" si="100"/>
        <v>4559.1626734559277</v>
      </c>
      <c r="G782" s="26">
        <f t="shared" ca="1" si="101"/>
        <v>4560.9042024661294</v>
      </c>
      <c r="H782" t="str">
        <f t="shared" ca="1" si="102"/>
        <v>Static</v>
      </c>
      <c r="I782" s="26">
        <f t="shared" ca="1" si="103"/>
        <v>-1.7415290102017025</v>
      </c>
    </row>
    <row r="783" spans="1:9" x14ac:dyDescent="0.2">
      <c r="A783">
        <v>780</v>
      </c>
      <c r="B783" s="30">
        <f t="shared" ca="1" si="96"/>
        <v>0.86056362374346607</v>
      </c>
      <c r="C783" t="b">
        <f t="shared" ca="1" si="97"/>
        <v>0</v>
      </c>
      <c r="D783">
        <f t="shared" ca="1" si="98"/>
        <v>26</v>
      </c>
      <c r="E783">
        <f t="shared" ca="1" si="99"/>
        <v>30</v>
      </c>
      <c r="F783" s="26">
        <f t="shared" ca="1" si="100"/>
        <v>4560.6878495490273</v>
      </c>
      <c r="G783" s="26">
        <f t="shared" ca="1" si="101"/>
        <v>4559.7992430400946</v>
      </c>
      <c r="H783" t="str">
        <f t="shared" ca="1" si="102"/>
        <v>Reactive</v>
      </c>
      <c r="I783" s="26">
        <f t="shared" ca="1" si="103"/>
        <v>0.88860650893275306</v>
      </c>
    </row>
    <row r="784" spans="1:9" x14ac:dyDescent="0.2">
      <c r="A784">
        <v>781</v>
      </c>
      <c r="B784" s="30">
        <f t="shared" ca="1" si="96"/>
        <v>0.87449565640618843</v>
      </c>
      <c r="C784" t="b">
        <f t="shared" ca="1" si="97"/>
        <v>0</v>
      </c>
      <c r="D784">
        <f t="shared" ca="1" si="98"/>
        <v>30</v>
      </c>
      <c r="E784">
        <f t="shared" ca="1" si="99"/>
        <v>30</v>
      </c>
      <c r="F784" s="26">
        <f t="shared" ca="1" si="100"/>
        <v>4557.8797062464046</v>
      </c>
      <c r="G784" s="26">
        <f t="shared" ca="1" si="101"/>
        <v>4559.7436033038157</v>
      </c>
      <c r="H784" t="str">
        <f t="shared" ca="1" si="102"/>
        <v>Static</v>
      </c>
      <c r="I784" s="26">
        <f t="shared" ca="1" si="103"/>
        <v>-1.8638970574111227</v>
      </c>
    </row>
    <row r="785" spans="1:9" x14ac:dyDescent="0.2">
      <c r="A785">
        <v>782</v>
      </c>
      <c r="B785" s="30">
        <f t="shared" ca="1" si="96"/>
        <v>0.38962818827570567</v>
      </c>
      <c r="C785" t="b">
        <f t="shared" ca="1" si="97"/>
        <v>0</v>
      </c>
      <c r="D785">
        <f t="shared" ca="1" si="98"/>
        <v>27</v>
      </c>
      <c r="E785">
        <f t="shared" ca="1" si="99"/>
        <v>30</v>
      </c>
      <c r="F785" s="26">
        <f t="shared" ca="1" si="100"/>
        <v>4559.6993249678826</v>
      </c>
      <c r="G785" s="26">
        <f t="shared" ca="1" si="101"/>
        <v>4559.3959001097928</v>
      </c>
      <c r="H785" t="str">
        <f t="shared" ca="1" si="102"/>
        <v>Reactive</v>
      </c>
      <c r="I785" s="26">
        <f t="shared" ca="1" si="103"/>
        <v>0.30342485808978381</v>
      </c>
    </row>
    <row r="786" spans="1:9" x14ac:dyDescent="0.2">
      <c r="A786">
        <v>783</v>
      </c>
      <c r="B786" s="30">
        <f t="shared" ca="1" si="96"/>
        <v>0.80331957565228584</v>
      </c>
      <c r="C786" t="b">
        <f t="shared" ca="1" si="97"/>
        <v>0</v>
      </c>
      <c r="D786">
        <f t="shared" ca="1" si="98"/>
        <v>27</v>
      </c>
      <c r="E786">
        <f t="shared" ca="1" si="99"/>
        <v>30</v>
      </c>
      <c r="F786" s="26">
        <f t="shared" ca="1" si="100"/>
        <v>4559.2153286156044</v>
      </c>
      <c r="G786" s="26">
        <f t="shared" ca="1" si="101"/>
        <v>4559.9681251041402</v>
      </c>
      <c r="H786" t="str">
        <f t="shared" ca="1" si="102"/>
        <v>Static</v>
      </c>
      <c r="I786" s="26">
        <f t="shared" ca="1" si="103"/>
        <v>-0.75279648853575054</v>
      </c>
    </row>
    <row r="787" spans="1:9" x14ac:dyDescent="0.2">
      <c r="A787">
        <v>784</v>
      </c>
      <c r="B787" s="30">
        <f t="shared" ca="1" si="96"/>
        <v>0.59755988623341083</v>
      </c>
      <c r="C787" t="b">
        <f t="shared" ca="1" si="97"/>
        <v>0</v>
      </c>
      <c r="D787">
        <f t="shared" ca="1" si="98"/>
        <v>27</v>
      </c>
      <c r="E787">
        <f t="shared" ca="1" si="99"/>
        <v>30</v>
      </c>
      <c r="F787" s="26">
        <f t="shared" ca="1" si="100"/>
        <v>4559.3029135328452</v>
      </c>
      <c r="G787" s="26">
        <f t="shared" ca="1" si="101"/>
        <v>4561.9398269676531</v>
      </c>
      <c r="H787" t="str">
        <f t="shared" ca="1" si="102"/>
        <v>Static</v>
      </c>
      <c r="I787" s="26">
        <f t="shared" ca="1" si="103"/>
        <v>-2.636913434807866</v>
      </c>
    </row>
    <row r="788" spans="1:9" x14ac:dyDescent="0.2">
      <c r="A788">
        <v>785</v>
      </c>
      <c r="B788" s="30">
        <f t="shared" ca="1" si="96"/>
        <v>0.32767806089158458</v>
      </c>
      <c r="C788" t="b">
        <f t="shared" ca="1" si="97"/>
        <v>1</v>
      </c>
      <c r="D788">
        <f t="shared" ca="1" si="98"/>
        <v>28</v>
      </c>
      <c r="E788">
        <f t="shared" ca="1" si="99"/>
        <v>28</v>
      </c>
      <c r="F788" s="26">
        <f t="shared" ca="1" si="100"/>
        <v>4559.3651419352191</v>
      </c>
      <c r="G788" s="26">
        <f t="shared" ca="1" si="101"/>
        <v>4542.9583722577054</v>
      </c>
      <c r="H788" t="str">
        <f t="shared" ca="1" si="102"/>
        <v>Reactive</v>
      </c>
      <c r="I788" s="26">
        <f t="shared" ca="1" si="103"/>
        <v>16.406769677513694</v>
      </c>
    </row>
    <row r="789" spans="1:9" x14ac:dyDescent="0.2">
      <c r="A789">
        <v>786</v>
      </c>
      <c r="B789" s="30">
        <f t="shared" ca="1" si="96"/>
        <v>0.53857787069644414</v>
      </c>
      <c r="C789" t="b">
        <f t="shared" ca="1" si="97"/>
        <v>0</v>
      </c>
      <c r="D789">
        <f t="shared" ca="1" si="98"/>
        <v>29</v>
      </c>
      <c r="E789">
        <f t="shared" ca="1" si="99"/>
        <v>30</v>
      </c>
      <c r="F789" s="26">
        <f t="shared" ca="1" si="100"/>
        <v>4558.9420309595798</v>
      </c>
      <c r="G789" s="26">
        <f t="shared" ca="1" si="101"/>
        <v>4561.642111223653</v>
      </c>
      <c r="H789" t="str">
        <f t="shared" ca="1" si="102"/>
        <v>Static</v>
      </c>
      <c r="I789" s="26">
        <f t="shared" ca="1" si="103"/>
        <v>-2.7000802640732218</v>
      </c>
    </row>
    <row r="790" spans="1:9" x14ac:dyDescent="0.2">
      <c r="A790">
        <v>787</v>
      </c>
      <c r="B790" s="30">
        <f t="shared" ca="1" si="96"/>
        <v>0.36042962102719345</v>
      </c>
      <c r="C790" t="b">
        <f t="shared" ca="1" si="97"/>
        <v>0</v>
      </c>
      <c r="D790">
        <f t="shared" ca="1" si="98"/>
        <v>29</v>
      </c>
      <c r="E790">
        <f t="shared" ca="1" si="99"/>
        <v>30</v>
      </c>
      <c r="F790" s="26">
        <f t="shared" ca="1" si="100"/>
        <v>4558.4766386405909</v>
      </c>
      <c r="G790" s="26">
        <f t="shared" ca="1" si="101"/>
        <v>4560.4029942153174</v>
      </c>
      <c r="H790" t="str">
        <f t="shared" ca="1" si="102"/>
        <v>Static</v>
      </c>
      <c r="I790" s="26">
        <f t="shared" ca="1" si="103"/>
        <v>-1.9263555747265855</v>
      </c>
    </row>
    <row r="791" spans="1:9" x14ac:dyDescent="0.2">
      <c r="A791">
        <v>788</v>
      </c>
      <c r="B791" s="30">
        <f t="shared" ca="1" si="96"/>
        <v>0.72386038753617277</v>
      </c>
      <c r="C791" t="b">
        <f t="shared" ca="1" si="97"/>
        <v>0</v>
      </c>
      <c r="D791">
        <f t="shared" ca="1" si="98"/>
        <v>29</v>
      </c>
      <c r="E791">
        <f t="shared" ca="1" si="99"/>
        <v>30</v>
      </c>
      <c r="F791" s="26">
        <f t="shared" ca="1" si="100"/>
        <v>4559.1945762007499</v>
      </c>
      <c r="G791" s="26">
        <f t="shared" ca="1" si="101"/>
        <v>4560.7807236588169</v>
      </c>
      <c r="H791" t="str">
        <f t="shared" ca="1" si="102"/>
        <v>Static</v>
      </c>
      <c r="I791" s="26">
        <f t="shared" ca="1" si="103"/>
        <v>-1.5861474580669892</v>
      </c>
    </row>
    <row r="792" spans="1:9" x14ac:dyDescent="0.2">
      <c r="A792">
        <v>789</v>
      </c>
      <c r="B792" s="30">
        <f t="shared" ca="1" si="96"/>
        <v>0.50327399204145939</v>
      </c>
      <c r="C792" t="b">
        <f t="shared" ca="1" si="97"/>
        <v>0</v>
      </c>
      <c r="D792">
        <f t="shared" ca="1" si="98"/>
        <v>26</v>
      </c>
      <c r="E792">
        <f t="shared" ca="1" si="99"/>
        <v>30</v>
      </c>
      <c r="F792" s="26">
        <f t="shared" ca="1" si="100"/>
        <v>4559.4371000042511</v>
      </c>
      <c r="G792" s="26">
        <f t="shared" ca="1" si="101"/>
        <v>4560.9206968259296</v>
      </c>
      <c r="H792" t="str">
        <f t="shared" ca="1" si="102"/>
        <v>Static</v>
      </c>
      <c r="I792" s="26">
        <f t="shared" ca="1" si="103"/>
        <v>-1.483596821678475</v>
      </c>
    </row>
    <row r="793" spans="1:9" x14ac:dyDescent="0.2">
      <c r="A793">
        <v>790</v>
      </c>
      <c r="B793" s="30">
        <f t="shared" ca="1" si="96"/>
        <v>0.13697758424075734</v>
      </c>
      <c r="C793" t="b">
        <f t="shared" ca="1" si="97"/>
        <v>1</v>
      </c>
      <c r="D793">
        <f t="shared" ca="1" si="98"/>
        <v>27</v>
      </c>
      <c r="E793">
        <f t="shared" ca="1" si="99"/>
        <v>27</v>
      </c>
      <c r="F793" s="26">
        <f t="shared" ca="1" si="100"/>
        <v>4558.4462794511483</v>
      </c>
      <c r="G793" s="26">
        <f t="shared" ca="1" si="101"/>
        <v>4540.5454051588113</v>
      </c>
      <c r="H793" t="str">
        <f t="shared" ca="1" si="102"/>
        <v>Reactive</v>
      </c>
      <c r="I793" s="26">
        <f t="shared" ca="1" si="103"/>
        <v>17.900874292336994</v>
      </c>
    </row>
    <row r="794" spans="1:9" x14ac:dyDescent="0.2">
      <c r="A794">
        <v>791</v>
      </c>
      <c r="B794" s="30">
        <f t="shared" ca="1" si="96"/>
        <v>8.3092715331665068E-2</v>
      </c>
      <c r="C794" t="b">
        <f t="shared" ca="1" si="97"/>
        <v>1</v>
      </c>
      <c r="D794">
        <f t="shared" ca="1" si="98"/>
        <v>29</v>
      </c>
      <c r="E794">
        <f t="shared" ca="1" si="99"/>
        <v>29</v>
      </c>
      <c r="F794" s="26">
        <f t="shared" ca="1" si="100"/>
        <v>4559.8567165293089</v>
      </c>
      <c r="G794" s="26">
        <f t="shared" ca="1" si="101"/>
        <v>4542.7895337374148</v>
      </c>
      <c r="H794" t="str">
        <f t="shared" ca="1" si="102"/>
        <v>Reactive</v>
      </c>
      <c r="I794" s="26">
        <f t="shared" ca="1" si="103"/>
        <v>17.067182791894083</v>
      </c>
    </row>
    <row r="795" spans="1:9" x14ac:dyDescent="0.2">
      <c r="A795">
        <v>792</v>
      </c>
      <c r="B795" s="30">
        <f t="shared" ca="1" si="96"/>
        <v>0.51574962903053823</v>
      </c>
      <c r="C795" t="b">
        <f t="shared" ca="1" si="97"/>
        <v>0</v>
      </c>
      <c r="D795">
        <f t="shared" ca="1" si="98"/>
        <v>29</v>
      </c>
      <c r="E795">
        <f t="shared" ca="1" si="99"/>
        <v>30</v>
      </c>
      <c r="F795" s="26">
        <f t="shared" ca="1" si="100"/>
        <v>4557.0309557065948</v>
      </c>
      <c r="G795" s="26">
        <f t="shared" ca="1" si="101"/>
        <v>4562.6852879087392</v>
      </c>
      <c r="H795" t="str">
        <f t="shared" ca="1" si="102"/>
        <v>Static</v>
      </c>
      <c r="I795" s="26">
        <f t="shared" ca="1" si="103"/>
        <v>-5.6543322021443601</v>
      </c>
    </row>
    <row r="796" spans="1:9" x14ac:dyDescent="0.2">
      <c r="A796">
        <v>793</v>
      </c>
      <c r="B796" s="30">
        <f t="shared" ca="1" si="96"/>
        <v>0.6146417946434074</v>
      </c>
      <c r="C796" t="b">
        <f t="shared" ca="1" si="97"/>
        <v>0</v>
      </c>
      <c r="D796">
        <f t="shared" ca="1" si="98"/>
        <v>29</v>
      </c>
      <c r="E796">
        <f t="shared" ca="1" si="99"/>
        <v>30</v>
      </c>
      <c r="F796" s="26">
        <f t="shared" ca="1" si="100"/>
        <v>4560.2844030604583</v>
      </c>
      <c r="G796" s="26">
        <f t="shared" ca="1" si="101"/>
        <v>4560.7733950814481</v>
      </c>
      <c r="H796" t="str">
        <f t="shared" ca="1" si="102"/>
        <v>Static</v>
      </c>
      <c r="I796" s="26">
        <f t="shared" ca="1" si="103"/>
        <v>-0.48899202098982641</v>
      </c>
    </row>
    <row r="797" spans="1:9" x14ac:dyDescent="0.2">
      <c r="A797">
        <v>794</v>
      </c>
      <c r="B797" s="30">
        <f t="shared" ca="1" si="96"/>
        <v>0.58112942174612958</v>
      </c>
      <c r="C797" t="b">
        <f t="shared" ca="1" si="97"/>
        <v>0</v>
      </c>
      <c r="D797">
        <f t="shared" ca="1" si="98"/>
        <v>28</v>
      </c>
      <c r="E797">
        <f t="shared" ca="1" si="99"/>
        <v>30</v>
      </c>
      <c r="F797" s="26">
        <f t="shared" ca="1" si="100"/>
        <v>4560.2473108299637</v>
      </c>
      <c r="G797" s="26">
        <f t="shared" ca="1" si="101"/>
        <v>4562.362544578039</v>
      </c>
      <c r="H797" t="str">
        <f t="shared" ca="1" si="102"/>
        <v>Static</v>
      </c>
      <c r="I797" s="26">
        <f t="shared" ca="1" si="103"/>
        <v>-2.1152337480752976</v>
      </c>
    </row>
    <row r="798" spans="1:9" x14ac:dyDescent="0.2">
      <c r="A798">
        <v>795</v>
      </c>
      <c r="B798" s="30">
        <f t="shared" ca="1" si="96"/>
        <v>0.33042981336975275</v>
      </c>
      <c r="C798" t="b">
        <f t="shared" ca="1" si="97"/>
        <v>1</v>
      </c>
      <c r="D798">
        <f t="shared" ca="1" si="98"/>
        <v>29</v>
      </c>
      <c r="E798">
        <f t="shared" ca="1" si="99"/>
        <v>29</v>
      </c>
      <c r="F798" s="26">
        <f t="shared" ca="1" si="100"/>
        <v>4560.4988808656817</v>
      </c>
      <c r="G798" s="26">
        <f t="shared" ca="1" si="101"/>
        <v>4541.9624720939219</v>
      </c>
      <c r="H798" t="str">
        <f t="shared" ca="1" si="102"/>
        <v>Reactive</v>
      </c>
      <c r="I798" s="26">
        <f t="shared" ca="1" si="103"/>
        <v>18.536408771759852</v>
      </c>
    </row>
    <row r="799" spans="1:9" x14ac:dyDescent="0.2">
      <c r="A799">
        <v>796</v>
      </c>
      <c r="B799" s="30">
        <f t="shared" ca="1" si="96"/>
        <v>0.42713176884815474</v>
      </c>
      <c r="C799" t="b">
        <f t="shared" ca="1" si="97"/>
        <v>0</v>
      </c>
      <c r="D799">
        <f t="shared" ca="1" si="98"/>
        <v>27</v>
      </c>
      <c r="E799">
        <f t="shared" ca="1" si="99"/>
        <v>30</v>
      </c>
      <c r="F799" s="26">
        <f t="shared" ca="1" si="100"/>
        <v>4557.5671520456908</v>
      </c>
      <c r="G799" s="26">
        <f t="shared" ca="1" si="101"/>
        <v>4560.0594959959326</v>
      </c>
      <c r="H799" t="str">
        <f t="shared" ca="1" si="102"/>
        <v>Static</v>
      </c>
      <c r="I799" s="26">
        <f t="shared" ca="1" si="103"/>
        <v>-2.492343950241775</v>
      </c>
    </row>
    <row r="800" spans="1:9" x14ac:dyDescent="0.2">
      <c r="A800">
        <v>797</v>
      </c>
      <c r="B800" s="30">
        <f t="shared" ca="1" si="96"/>
        <v>0.4638929706202497</v>
      </c>
      <c r="C800" t="b">
        <f t="shared" ca="1" si="97"/>
        <v>0</v>
      </c>
      <c r="D800">
        <f t="shared" ca="1" si="98"/>
        <v>27</v>
      </c>
      <c r="E800">
        <f t="shared" ca="1" si="99"/>
        <v>30</v>
      </c>
      <c r="F800" s="26">
        <f t="shared" ca="1" si="100"/>
        <v>4558.1271259356663</v>
      </c>
      <c r="G800" s="26">
        <f t="shared" ca="1" si="101"/>
        <v>4559.9165942668687</v>
      </c>
      <c r="H800" t="str">
        <f t="shared" ca="1" si="102"/>
        <v>Static</v>
      </c>
      <c r="I800" s="26">
        <f t="shared" ca="1" si="103"/>
        <v>-1.7894683312024426</v>
      </c>
    </row>
    <row r="801" spans="1:9" x14ac:dyDescent="0.2">
      <c r="A801">
        <v>798</v>
      </c>
      <c r="B801" s="30">
        <f t="shared" ca="1" si="96"/>
        <v>0.26562983103413162</v>
      </c>
      <c r="C801" t="b">
        <f t="shared" ca="1" si="97"/>
        <v>1</v>
      </c>
      <c r="D801">
        <f t="shared" ca="1" si="98"/>
        <v>26</v>
      </c>
      <c r="E801">
        <f t="shared" ca="1" si="99"/>
        <v>26</v>
      </c>
      <c r="F801" s="26">
        <f t="shared" ca="1" si="100"/>
        <v>4558.8075942323212</v>
      </c>
      <c r="G801" s="26">
        <f t="shared" ca="1" si="101"/>
        <v>4541.1949183147308</v>
      </c>
      <c r="H801" t="str">
        <f t="shared" ca="1" si="102"/>
        <v>Reactive</v>
      </c>
      <c r="I801" s="26">
        <f t="shared" ca="1" si="103"/>
        <v>17.612675917590423</v>
      </c>
    </row>
    <row r="802" spans="1:9" x14ac:dyDescent="0.2">
      <c r="A802">
        <v>799</v>
      </c>
      <c r="B802" s="30">
        <f t="shared" ca="1" si="96"/>
        <v>0.10841691048099134</v>
      </c>
      <c r="C802" t="b">
        <f t="shared" ca="1" si="97"/>
        <v>1</v>
      </c>
      <c r="D802">
        <f t="shared" ca="1" si="98"/>
        <v>30</v>
      </c>
      <c r="E802">
        <f t="shared" ca="1" si="99"/>
        <v>30</v>
      </c>
      <c r="F802" s="26">
        <f t="shared" ca="1" si="100"/>
        <v>4559.0020072842954</v>
      </c>
      <c r="G802" s="26">
        <f t="shared" ca="1" si="101"/>
        <v>4543.3741238473331</v>
      </c>
      <c r="H802" t="str">
        <f t="shared" ca="1" si="102"/>
        <v>Reactive</v>
      </c>
      <c r="I802" s="26">
        <f t="shared" ca="1" si="103"/>
        <v>15.627883436962293</v>
      </c>
    </row>
    <row r="803" spans="1:9" x14ac:dyDescent="0.2">
      <c r="A803">
        <v>800</v>
      </c>
      <c r="B803" s="30">
        <f t="shared" ca="1" si="96"/>
        <v>0.36364384451054654</v>
      </c>
      <c r="C803" t="b">
        <f t="shared" ca="1" si="97"/>
        <v>0</v>
      </c>
      <c r="D803">
        <f t="shared" ca="1" si="98"/>
        <v>29</v>
      </c>
      <c r="E803">
        <f t="shared" ca="1" si="99"/>
        <v>30</v>
      </c>
      <c r="F803" s="26">
        <f t="shared" ca="1" si="100"/>
        <v>4556.8119924538623</v>
      </c>
      <c r="G803" s="26">
        <f t="shared" ca="1" si="101"/>
        <v>4561.2373552492099</v>
      </c>
      <c r="H803" t="str">
        <f t="shared" ca="1" si="102"/>
        <v>Static</v>
      </c>
      <c r="I803" s="26">
        <f t="shared" ca="1" si="103"/>
        <v>-4.4253627953476098</v>
      </c>
    </row>
    <row r="804" spans="1:9" x14ac:dyDescent="0.2">
      <c r="A804">
        <v>801</v>
      </c>
      <c r="B804" s="30">
        <f t="shared" ca="1" si="96"/>
        <v>0.8288295202229562</v>
      </c>
      <c r="C804" t="b">
        <f t="shared" ca="1" si="97"/>
        <v>0</v>
      </c>
      <c r="D804">
        <f t="shared" ca="1" si="98"/>
        <v>29</v>
      </c>
      <c r="E804">
        <f t="shared" ca="1" si="99"/>
        <v>30</v>
      </c>
      <c r="F804" s="26">
        <f t="shared" ca="1" si="100"/>
        <v>4559.4860567251108</v>
      </c>
      <c r="G804" s="26">
        <f t="shared" ca="1" si="101"/>
        <v>4559.6275911377134</v>
      </c>
      <c r="H804" t="str">
        <f t="shared" ca="1" si="102"/>
        <v>Static</v>
      </c>
      <c r="I804" s="26">
        <f t="shared" ca="1" si="103"/>
        <v>-0.14153441260259569</v>
      </c>
    </row>
    <row r="805" spans="1:9" x14ac:dyDescent="0.2">
      <c r="A805">
        <v>802</v>
      </c>
      <c r="B805" s="30">
        <f t="shared" ca="1" si="96"/>
        <v>0.65261452115118468</v>
      </c>
      <c r="C805" t="b">
        <f t="shared" ca="1" si="97"/>
        <v>0</v>
      </c>
      <c r="D805">
        <f t="shared" ca="1" si="98"/>
        <v>30</v>
      </c>
      <c r="E805">
        <f t="shared" ca="1" si="99"/>
        <v>30</v>
      </c>
      <c r="F805" s="26">
        <f t="shared" ca="1" si="100"/>
        <v>4555.9595775076077</v>
      </c>
      <c r="G805" s="26">
        <f t="shared" ca="1" si="101"/>
        <v>4561.3761752136379</v>
      </c>
      <c r="H805" t="str">
        <f t="shared" ca="1" si="102"/>
        <v>Static</v>
      </c>
      <c r="I805" s="26">
        <f t="shared" ca="1" si="103"/>
        <v>-5.4165977060301884</v>
      </c>
    </row>
    <row r="806" spans="1:9" x14ac:dyDescent="0.2">
      <c r="A806">
        <v>803</v>
      </c>
      <c r="B806" s="30">
        <f t="shared" ca="1" si="96"/>
        <v>0.38024674375604683</v>
      </c>
      <c r="C806" t="b">
        <f t="shared" ca="1" si="97"/>
        <v>0</v>
      </c>
      <c r="D806">
        <f t="shared" ca="1" si="98"/>
        <v>29</v>
      </c>
      <c r="E806">
        <f t="shared" ca="1" si="99"/>
        <v>30</v>
      </c>
      <c r="F806" s="26">
        <f t="shared" ca="1" si="100"/>
        <v>4558.3785998963504</v>
      </c>
      <c r="G806" s="26">
        <f t="shared" ca="1" si="101"/>
        <v>4561.2566762950028</v>
      </c>
      <c r="H806" t="str">
        <f t="shared" ca="1" si="102"/>
        <v>Static</v>
      </c>
      <c r="I806" s="26">
        <f t="shared" ca="1" si="103"/>
        <v>-2.8780763986524107</v>
      </c>
    </row>
    <row r="807" spans="1:9" x14ac:dyDescent="0.2">
      <c r="A807">
        <v>804</v>
      </c>
      <c r="B807" s="30">
        <f t="shared" ca="1" si="96"/>
        <v>0.53528200709647755</v>
      </c>
      <c r="C807" t="b">
        <f t="shared" ca="1" si="97"/>
        <v>0</v>
      </c>
      <c r="D807">
        <f t="shared" ca="1" si="98"/>
        <v>30</v>
      </c>
      <c r="E807">
        <f t="shared" ca="1" si="99"/>
        <v>30</v>
      </c>
      <c r="F807" s="26">
        <f t="shared" ca="1" si="100"/>
        <v>4561.7410533820885</v>
      </c>
      <c r="G807" s="26">
        <f t="shared" ca="1" si="101"/>
        <v>4559.6411494875974</v>
      </c>
      <c r="H807" t="str">
        <f t="shared" ca="1" si="102"/>
        <v>Reactive</v>
      </c>
      <c r="I807" s="26">
        <f t="shared" ca="1" si="103"/>
        <v>2.0999038944910353</v>
      </c>
    </row>
    <row r="808" spans="1:9" x14ac:dyDescent="0.2">
      <c r="A808">
        <v>805</v>
      </c>
      <c r="B808" s="30">
        <f t="shared" ca="1" si="96"/>
        <v>0.27168599081091149</v>
      </c>
      <c r="C808" t="b">
        <f t="shared" ca="1" si="97"/>
        <v>1</v>
      </c>
      <c r="D808">
        <f t="shared" ca="1" si="98"/>
        <v>26</v>
      </c>
      <c r="E808">
        <f t="shared" ca="1" si="99"/>
        <v>26</v>
      </c>
      <c r="F808" s="26">
        <f t="shared" ca="1" si="100"/>
        <v>4560.9980335480304</v>
      </c>
      <c r="G808" s="26">
        <f t="shared" ca="1" si="101"/>
        <v>4542.0699905028596</v>
      </c>
      <c r="H808" t="str">
        <f t="shared" ca="1" si="102"/>
        <v>Reactive</v>
      </c>
      <c r="I808" s="26">
        <f t="shared" ca="1" si="103"/>
        <v>18.928043045170853</v>
      </c>
    </row>
    <row r="809" spans="1:9" x14ac:dyDescent="0.2">
      <c r="A809">
        <v>806</v>
      </c>
      <c r="B809" s="30">
        <f t="shared" ca="1" si="96"/>
        <v>0.68417552451033792</v>
      </c>
      <c r="C809" t="b">
        <f t="shared" ca="1" si="97"/>
        <v>0</v>
      </c>
      <c r="D809">
        <f t="shared" ca="1" si="98"/>
        <v>28</v>
      </c>
      <c r="E809">
        <f t="shared" ca="1" si="99"/>
        <v>30</v>
      </c>
      <c r="F809" s="26">
        <f t="shared" ca="1" si="100"/>
        <v>4559.6685357825818</v>
      </c>
      <c r="G809" s="26">
        <f t="shared" ca="1" si="101"/>
        <v>4561.9510429815355</v>
      </c>
      <c r="H809" t="str">
        <f t="shared" ca="1" si="102"/>
        <v>Static</v>
      </c>
      <c r="I809" s="26">
        <f t="shared" ca="1" si="103"/>
        <v>-2.2825071989536809</v>
      </c>
    </row>
    <row r="810" spans="1:9" x14ac:dyDescent="0.2">
      <c r="A810">
        <v>807</v>
      </c>
      <c r="B810" s="30">
        <f t="shared" ca="1" si="96"/>
        <v>0.51314853453244724</v>
      </c>
      <c r="C810" t="b">
        <f t="shared" ca="1" si="97"/>
        <v>0</v>
      </c>
      <c r="D810">
        <f t="shared" ca="1" si="98"/>
        <v>29</v>
      </c>
      <c r="E810">
        <f t="shared" ca="1" si="99"/>
        <v>30</v>
      </c>
      <c r="F810" s="26">
        <f t="shared" ca="1" si="100"/>
        <v>4560.4569671565705</v>
      </c>
      <c r="G810" s="26">
        <f t="shared" ca="1" si="101"/>
        <v>4560.2197189968374</v>
      </c>
      <c r="H810" t="str">
        <f t="shared" ca="1" si="102"/>
        <v>Reactive</v>
      </c>
      <c r="I810" s="26">
        <f t="shared" ca="1" si="103"/>
        <v>0.23724815973309887</v>
      </c>
    </row>
    <row r="811" spans="1:9" x14ac:dyDescent="0.2">
      <c r="A811">
        <v>808</v>
      </c>
      <c r="B811" s="30">
        <f t="shared" ca="1" si="96"/>
        <v>0.80795783756258177</v>
      </c>
      <c r="C811" t="b">
        <f t="shared" ca="1" si="97"/>
        <v>0</v>
      </c>
      <c r="D811">
        <f t="shared" ca="1" si="98"/>
        <v>27</v>
      </c>
      <c r="E811">
        <f t="shared" ca="1" si="99"/>
        <v>30</v>
      </c>
      <c r="F811" s="26">
        <f t="shared" ca="1" si="100"/>
        <v>4561.136797047142</v>
      </c>
      <c r="G811" s="26">
        <f t="shared" ca="1" si="101"/>
        <v>4560.4817202577078</v>
      </c>
      <c r="H811" t="str">
        <f t="shared" ca="1" si="102"/>
        <v>Reactive</v>
      </c>
      <c r="I811" s="26">
        <f t="shared" ca="1" si="103"/>
        <v>0.65507678943413339</v>
      </c>
    </row>
    <row r="812" spans="1:9" x14ac:dyDescent="0.2">
      <c r="A812">
        <v>809</v>
      </c>
      <c r="B812" s="30">
        <f t="shared" ca="1" si="96"/>
        <v>0.84537395004443494</v>
      </c>
      <c r="C812" t="b">
        <f t="shared" ca="1" si="97"/>
        <v>0</v>
      </c>
      <c r="D812">
        <f t="shared" ca="1" si="98"/>
        <v>28</v>
      </c>
      <c r="E812">
        <f t="shared" ca="1" si="99"/>
        <v>30</v>
      </c>
      <c r="F812" s="26">
        <f t="shared" ca="1" si="100"/>
        <v>4557.7317661639081</v>
      </c>
      <c r="G812" s="26">
        <f t="shared" ca="1" si="101"/>
        <v>4560.3335933101043</v>
      </c>
      <c r="H812" t="str">
        <f t="shared" ca="1" si="102"/>
        <v>Static</v>
      </c>
      <c r="I812" s="26">
        <f t="shared" ca="1" si="103"/>
        <v>-2.6018271461962286</v>
      </c>
    </row>
    <row r="813" spans="1:9" x14ac:dyDescent="0.2">
      <c r="A813">
        <v>810</v>
      </c>
      <c r="B813" s="30">
        <f t="shared" ca="1" si="96"/>
        <v>0.64758858391437413</v>
      </c>
      <c r="C813" t="b">
        <f t="shared" ca="1" si="97"/>
        <v>0</v>
      </c>
      <c r="D813">
        <f t="shared" ca="1" si="98"/>
        <v>29</v>
      </c>
      <c r="E813">
        <f t="shared" ca="1" si="99"/>
        <v>30</v>
      </c>
      <c r="F813" s="26">
        <f t="shared" ca="1" si="100"/>
        <v>4558.0734220284403</v>
      </c>
      <c r="G813" s="26">
        <f t="shared" ca="1" si="101"/>
        <v>4559.7923558519387</v>
      </c>
      <c r="H813" t="str">
        <f t="shared" ca="1" si="102"/>
        <v>Static</v>
      </c>
      <c r="I813" s="26">
        <f t="shared" ca="1" si="103"/>
        <v>-1.7189338234984461</v>
      </c>
    </row>
    <row r="814" spans="1:9" x14ac:dyDescent="0.2">
      <c r="A814">
        <v>811</v>
      </c>
      <c r="B814" s="30">
        <f t="shared" ca="1" si="96"/>
        <v>9.1748089559872348E-2</v>
      </c>
      <c r="C814" t="b">
        <f t="shared" ca="1" si="97"/>
        <v>1</v>
      </c>
      <c r="D814">
        <f t="shared" ca="1" si="98"/>
        <v>29</v>
      </c>
      <c r="E814">
        <f t="shared" ca="1" si="99"/>
        <v>29</v>
      </c>
      <c r="F814" s="26">
        <f t="shared" ca="1" si="100"/>
        <v>4558.5820739437422</v>
      </c>
      <c r="G814" s="26">
        <f t="shared" ca="1" si="101"/>
        <v>4542.8335632302988</v>
      </c>
      <c r="H814" t="str">
        <f t="shared" ca="1" si="102"/>
        <v>Reactive</v>
      </c>
      <c r="I814" s="26">
        <f t="shared" ca="1" si="103"/>
        <v>15.748510713443466</v>
      </c>
    </row>
    <row r="815" spans="1:9" x14ac:dyDescent="0.2">
      <c r="A815">
        <v>812</v>
      </c>
      <c r="B815" s="30">
        <f t="shared" ca="1" si="96"/>
        <v>0.33567682491559825</v>
      </c>
      <c r="C815" t="b">
        <f t="shared" ca="1" si="97"/>
        <v>1</v>
      </c>
      <c r="D815">
        <f t="shared" ca="1" si="98"/>
        <v>30</v>
      </c>
      <c r="E815">
        <f t="shared" ca="1" si="99"/>
        <v>30</v>
      </c>
      <c r="F815" s="26">
        <f t="shared" ca="1" si="100"/>
        <v>4558.1298132955108</v>
      </c>
      <c r="G815" s="26">
        <f t="shared" ca="1" si="101"/>
        <v>4543.5977847773684</v>
      </c>
      <c r="H815" t="str">
        <f t="shared" ca="1" si="102"/>
        <v>Reactive</v>
      </c>
      <c r="I815" s="26">
        <f t="shared" ca="1" si="103"/>
        <v>14.532028518142397</v>
      </c>
    </row>
    <row r="816" spans="1:9" x14ac:dyDescent="0.2">
      <c r="A816">
        <v>813</v>
      </c>
      <c r="B816" s="30">
        <f t="shared" ca="1" si="96"/>
        <v>0.28276257520716186</v>
      </c>
      <c r="C816" t="b">
        <f t="shared" ca="1" si="97"/>
        <v>1</v>
      </c>
      <c r="D816">
        <f t="shared" ca="1" si="98"/>
        <v>27</v>
      </c>
      <c r="E816">
        <f t="shared" ca="1" si="99"/>
        <v>27</v>
      </c>
      <c r="F816" s="26">
        <f t="shared" ca="1" si="100"/>
        <v>4558.4072534821271</v>
      </c>
      <c r="G816" s="26">
        <f t="shared" ca="1" si="101"/>
        <v>4543.1990173052582</v>
      </c>
      <c r="H816" t="str">
        <f t="shared" ca="1" si="102"/>
        <v>Reactive</v>
      </c>
      <c r="I816" s="26">
        <f t="shared" ca="1" si="103"/>
        <v>15.208236176868922</v>
      </c>
    </row>
    <row r="817" spans="1:9" x14ac:dyDescent="0.2">
      <c r="A817">
        <v>814</v>
      </c>
      <c r="B817" s="30">
        <f t="shared" ca="1" si="96"/>
        <v>0.73376860441925384</v>
      </c>
      <c r="C817" t="b">
        <f t="shared" ca="1" si="97"/>
        <v>0</v>
      </c>
      <c r="D817">
        <f t="shared" ca="1" si="98"/>
        <v>29</v>
      </c>
      <c r="E817">
        <f t="shared" ca="1" si="99"/>
        <v>30</v>
      </c>
      <c r="F817" s="26">
        <f t="shared" ca="1" si="100"/>
        <v>4558.4197537860355</v>
      </c>
      <c r="G817" s="26">
        <f t="shared" ca="1" si="101"/>
        <v>4561.2690221642388</v>
      </c>
      <c r="H817" t="str">
        <f t="shared" ca="1" si="102"/>
        <v>Static</v>
      </c>
      <c r="I817" s="26">
        <f t="shared" ca="1" si="103"/>
        <v>-2.8492683782033055</v>
      </c>
    </row>
    <row r="818" spans="1:9" x14ac:dyDescent="0.2">
      <c r="A818">
        <v>815</v>
      </c>
      <c r="B818" s="30">
        <f t="shared" ca="1" si="96"/>
        <v>0.36534915398978784</v>
      </c>
      <c r="C818" t="b">
        <f t="shared" ca="1" si="97"/>
        <v>0</v>
      </c>
      <c r="D818">
        <f t="shared" ca="1" si="98"/>
        <v>26</v>
      </c>
      <c r="E818">
        <f t="shared" ca="1" si="99"/>
        <v>30</v>
      </c>
      <c r="F818" s="26">
        <f t="shared" ca="1" si="100"/>
        <v>4559.2387037016097</v>
      </c>
      <c r="G818" s="26">
        <f t="shared" ca="1" si="101"/>
        <v>4560.0414950072145</v>
      </c>
      <c r="H818" t="str">
        <f t="shared" ca="1" si="102"/>
        <v>Static</v>
      </c>
      <c r="I818" s="26">
        <f t="shared" ca="1" si="103"/>
        <v>-0.80279130560484191</v>
      </c>
    </row>
    <row r="819" spans="1:9" x14ac:dyDescent="0.2">
      <c r="A819">
        <v>816</v>
      </c>
      <c r="B819" s="30">
        <f t="shared" ca="1" si="96"/>
        <v>0.99846978598921898</v>
      </c>
      <c r="C819" t="b">
        <f t="shared" ca="1" si="97"/>
        <v>0</v>
      </c>
      <c r="D819">
        <f t="shared" ca="1" si="98"/>
        <v>28</v>
      </c>
      <c r="E819">
        <f t="shared" ca="1" si="99"/>
        <v>30</v>
      </c>
      <c r="F819" s="26">
        <f t="shared" ca="1" si="100"/>
        <v>4559.721892012064</v>
      </c>
      <c r="G819" s="26">
        <f t="shared" ca="1" si="101"/>
        <v>4561.3159381082623</v>
      </c>
      <c r="H819" t="str">
        <f t="shared" ca="1" si="102"/>
        <v>Static</v>
      </c>
      <c r="I819" s="26">
        <f t="shared" ca="1" si="103"/>
        <v>-1.5940460961983263</v>
      </c>
    </row>
    <row r="820" spans="1:9" x14ac:dyDescent="0.2">
      <c r="A820">
        <v>817</v>
      </c>
      <c r="B820" s="30">
        <f t="shared" ca="1" si="96"/>
        <v>9.0860390585654094E-2</v>
      </c>
      <c r="C820" t="b">
        <f t="shared" ca="1" si="97"/>
        <v>1</v>
      </c>
      <c r="D820">
        <f t="shared" ca="1" si="98"/>
        <v>26</v>
      </c>
      <c r="E820">
        <f t="shared" ca="1" si="99"/>
        <v>26</v>
      </c>
      <c r="F820" s="26">
        <f t="shared" ca="1" si="100"/>
        <v>4558.6615109007607</v>
      </c>
      <c r="G820" s="26">
        <f t="shared" ca="1" si="101"/>
        <v>4540.9492238666817</v>
      </c>
      <c r="H820" t="str">
        <f t="shared" ca="1" si="102"/>
        <v>Reactive</v>
      </c>
      <c r="I820" s="26">
        <f t="shared" ca="1" si="103"/>
        <v>17.712287034079054</v>
      </c>
    </row>
    <row r="821" spans="1:9" x14ac:dyDescent="0.2">
      <c r="A821">
        <v>818</v>
      </c>
      <c r="B821" s="30">
        <f t="shared" ca="1" si="96"/>
        <v>0.97243172112927667</v>
      </c>
      <c r="C821" t="b">
        <f t="shared" ca="1" si="97"/>
        <v>0</v>
      </c>
      <c r="D821">
        <f t="shared" ca="1" si="98"/>
        <v>27</v>
      </c>
      <c r="E821">
        <f t="shared" ca="1" si="99"/>
        <v>30</v>
      </c>
      <c r="F821" s="26">
        <f t="shared" ca="1" si="100"/>
        <v>4558.9340235319414</v>
      </c>
      <c r="G821" s="26">
        <f t="shared" ca="1" si="101"/>
        <v>4559.141787941353</v>
      </c>
      <c r="H821" t="str">
        <f t="shared" ca="1" si="102"/>
        <v>Static</v>
      </c>
      <c r="I821" s="26">
        <f t="shared" ca="1" si="103"/>
        <v>-0.20776440941153851</v>
      </c>
    </row>
    <row r="822" spans="1:9" x14ac:dyDescent="0.2">
      <c r="A822">
        <v>819</v>
      </c>
      <c r="B822" s="30">
        <f t="shared" ca="1" si="96"/>
        <v>0.54897481934501458</v>
      </c>
      <c r="C822" t="b">
        <f t="shared" ca="1" si="97"/>
        <v>0</v>
      </c>
      <c r="D822">
        <f t="shared" ca="1" si="98"/>
        <v>30</v>
      </c>
      <c r="E822">
        <f t="shared" ca="1" si="99"/>
        <v>30</v>
      </c>
      <c r="F822" s="26">
        <f t="shared" ca="1" si="100"/>
        <v>4557.7683889501168</v>
      </c>
      <c r="G822" s="26">
        <f t="shared" ca="1" si="101"/>
        <v>4562.8398492061915</v>
      </c>
      <c r="H822" t="str">
        <f t="shared" ca="1" si="102"/>
        <v>Static</v>
      </c>
      <c r="I822" s="26">
        <f t="shared" ca="1" si="103"/>
        <v>-5.0714602560747153</v>
      </c>
    </row>
    <row r="823" spans="1:9" x14ac:dyDescent="0.2">
      <c r="A823">
        <v>820</v>
      </c>
      <c r="B823" s="30">
        <f t="shared" ca="1" si="96"/>
        <v>0.81586003762479675</v>
      </c>
      <c r="C823" t="b">
        <f t="shared" ca="1" si="97"/>
        <v>0</v>
      </c>
      <c r="D823">
        <f t="shared" ca="1" si="98"/>
        <v>27</v>
      </c>
      <c r="E823">
        <f t="shared" ca="1" si="99"/>
        <v>30</v>
      </c>
      <c r="F823" s="26">
        <f t="shared" ca="1" si="100"/>
        <v>4558.8723569625881</v>
      </c>
      <c r="G823" s="26">
        <f t="shared" ca="1" si="101"/>
        <v>4559.3353319910675</v>
      </c>
      <c r="H823" t="str">
        <f t="shared" ca="1" si="102"/>
        <v>Static</v>
      </c>
      <c r="I823" s="26">
        <f t="shared" ca="1" si="103"/>
        <v>-0.46297502847937722</v>
      </c>
    </row>
    <row r="824" spans="1:9" x14ac:dyDescent="0.2">
      <c r="A824">
        <v>821</v>
      </c>
      <c r="B824" s="30">
        <f t="shared" ca="1" si="96"/>
        <v>0.53964180802547779</v>
      </c>
      <c r="C824" t="b">
        <f t="shared" ca="1" si="97"/>
        <v>0</v>
      </c>
      <c r="D824">
        <f t="shared" ca="1" si="98"/>
        <v>26</v>
      </c>
      <c r="E824">
        <f t="shared" ca="1" si="99"/>
        <v>30</v>
      </c>
      <c r="F824" s="26">
        <f t="shared" ca="1" si="100"/>
        <v>4558.6512620983949</v>
      </c>
      <c r="G824" s="26">
        <f t="shared" ca="1" si="101"/>
        <v>4561.1854581134439</v>
      </c>
      <c r="H824" t="str">
        <f t="shared" ca="1" si="102"/>
        <v>Static</v>
      </c>
      <c r="I824" s="26">
        <f t="shared" ca="1" si="103"/>
        <v>-2.5341960150490195</v>
      </c>
    </row>
    <row r="825" spans="1:9" x14ac:dyDescent="0.2">
      <c r="A825">
        <v>822</v>
      </c>
      <c r="B825" s="30">
        <f t="shared" ca="1" si="96"/>
        <v>0.41314992425555697</v>
      </c>
      <c r="C825" t="b">
        <f t="shared" ca="1" si="97"/>
        <v>0</v>
      </c>
      <c r="D825">
        <f t="shared" ca="1" si="98"/>
        <v>29</v>
      </c>
      <c r="E825">
        <f t="shared" ca="1" si="99"/>
        <v>30</v>
      </c>
      <c r="F825" s="26">
        <f t="shared" ca="1" si="100"/>
        <v>4559.2243430909612</v>
      </c>
      <c r="G825" s="26">
        <f t="shared" ca="1" si="101"/>
        <v>4559.5263113169658</v>
      </c>
      <c r="H825" t="str">
        <f t="shared" ca="1" si="102"/>
        <v>Static</v>
      </c>
      <c r="I825" s="26">
        <f t="shared" ca="1" si="103"/>
        <v>-0.30196822600464657</v>
      </c>
    </row>
    <row r="826" spans="1:9" x14ac:dyDescent="0.2">
      <c r="A826">
        <v>823</v>
      </c>
      <c r="B826" s="30">
        <f t="shared" ca="1" si="96"/>
        <v>0.92336171960547408</v>
      </c>
      <c r="C826" t="b">
        <f t="shared" ca="1" si="97"/>
        <v>0</v>
      </c>
      <c r="D826">
        <f t="shared" ca="1" si="98"/>
        <v>27</v>
      </c>
      <c r="E826">
        <f t="shared" ca="1" si="99"/>
        <v>30</v>
      </c>
      <c r="F826" s="26">
        <f t="shared" ca="1" si="100"/>
        <v>4560.5901817611812</v>
      </c>
      <c r="G826" s="26">
        <f t="shared" ca="1" si="101"/>
        <v>4560.2546549878061</v>
      </c>
      <c r="H826" t="str">
        <f t="shared" ca="1" si="102"/>
        <v>Reactive</v>
      </c>
      <c r="I826" s="26">
        <f t="shared" ca="1" si="103"/>
        <v>0.33552677337502246</v>
      </c>
    </row>
    <row r="827" spans="1:9" x14ac:dyDescent="0.2">
      <c r="A827">
        <v>824</v>
      </c>
      <c r="B827" s="30">
        <f t="shared" ca="1" si="96"/>
        <v>7.6443198110154098E-2</v>
      </c>
      <c r="C827" t="b">
        <f t="shared" ca="1" si="97"/>
        <v>1</v>
      </c>
      <c r="D827">
        <f t="shared" ca="1" si="98"/>
        <v>27</v>
      </c>
      <c r="E827">
        <f t="shared" ca="1" si="99"/>
        <v>27</v>
      </c>
      <c r="F827" s="26">
        <f t="shared" ca="1" si="100"/>
        <v>4560.7433849034869</v>
      </c>
      <c r="G827" s="26">
        <f t="shared" ca="1" si="101"/>
        <v>4542.7026187212787</v>
      </c>
      <c r="H827" t="str">
        <f t="shared" ca="1" si="102"/>
        <v>Reactive</v>
      </c>
      <c r="I827" s="26">
        <f t="shared" ca="1" si="103"/>
        <v>18.040766182208245</v>
      </c>
    </row>
    <row r="828" spans="1:9" x14ac:dyDescent="0.2">
      <c r="A828">
        <v>825</v>
      </c>
      <c r="B828" s="30">
        <f t="shared" ca="1" si="96"/>
        <v>0.38948916235799835</v>
      </c>
      <c r="C828" t="b">
        <f t="shared" ca="1" si="97"/>
        <v>0</v>
      </c>
      <c r="D828">
        <f t="shared" ca="1" si="98"/>
        <v>26</v>
      </c>
      <c r="E828">
        <f t="shared" ca="1" si="99"/>
        <v>30</v>
      </c>
      <c r="F828" s="26">
        <f t="shared" ca="1" si="100"/>
        <v>4558.7182341610423</v>
      </c>
      <c r="G828" s="26">
        <f t="shared" ca="1" si="101"/>
        <v>4558.117103037077</v>
      </c>
      <c r="H828" t="str">
        <f t="shared" ca="1" si="102"/>
        <v>Reactive</v>
      </c>
      <c r="I828" s="26">
        <f t="shared" ca="1" si="103"/>
        <v>0.60113112396538781</v>
      </c>
    </row>
    <row r="829" spans="1:9" x14ac:dyDescent="0.2">
      <c r="A829">
        <v>826</v>
      </c>
      <c r="B829" s="30">
        <f t="shared" ca="1" si="96"/>
        <v>0.10447489201729898</v>
      </c>
      <c r="C829" t="b">
        <f t="shared" ca="1" si="97"/>
        <v>1</v>
      </c>
      <c r="D829">
        <f t="shared" ca="1" si="98"/>
        <v>29</v>
      </c>
      <c r="E829">
        <f t="shared" ca="1" si="99"/>
        <v>29</v>
      </c>
      <c r="F829" s="26">
        <f t="shared" ca="1" si="100"/>
        <v>4559.0560391918652</v>
      </c>
      <c r="G829" s="26">
        <f t="shared" ca="1" si="101"/>
        <v>4544.8102728140175</v>
      </c>
      <c r="H829" t="str">
        <f t="shared" ca="1" si="102"/>
        <v>Reactive</v>
      </c>
      <c r="I829" s="26">
        <f t="shared" ca="1" si="103"/>
        <v>14.245766377847758</v>
      </c>
    </row>
    <row r="830" spans="1:9" x14ac:dyDescent="0.2">
      <c r="A830">
        <v>827</v>
      </c>
      <c r="B830" s="30">
        <f t="shared" ca="1" si="96"/>
        <v>0.72803002662433469</v>
      </c>
      <c r="C830" t="b">
        <f t="shared" ca="1" si="97"/>
        <v>0</v>
      </c>
      <c r="D830">
        <f t="shared" ca="1" si="98"/>
        <v>26</v>
      </c>
      <c r="E830">
        <f t="shared" ca="1" si="99"/>
        <v>30</v>
      </c>
      <c r="F830" s="26">
        <f t="shared" ca="1" si="100"/>
        <v>4559.4215334811825</v>
      </c>
      <c r="G830" s="26">
        <f t="shared" ca="1" si="101"/>
        <v>4561.0023008211792</v>
      </c>
      <c r="H830" t="str">
        <f t="shared" ca="1" si="102"/>
        <v>Static</v>
      </c>
      <c r="I830" s="26">
        <f t="shared" ca="1" si="103"/>
        <v>-1.5807673399967825</v>
      </c>
    </row>
    <row r="831" spans="1:9" x14ac:dyDescent="0.2">
      <c r="A831">
        <v>828</v>
      </c>
      <c r="B831" s="30">
        <f t="shared" ca="1" si="96"/>
        <v>0.8842248786738407</v>
      </c>
      <c r="C831" t="b">
        <f t="shared" ca="1" si="97"/>
        <v>0</v>
      </c>
      <c r="D831">
        <f t="shared" ca="1" si="98"/>
        <v>26</v>
      </c>
      <c r="E831">
        <f t="shared" ca="1" si="99"/>
        <v>30</v>
      </c>
      <c r="F831" s="26">
        <f t="shared" ca="1" si="100"/>
        <v>4559.6511678782399</v>
      </c>
      <c r="G831" s="26">
        <f t="shared" ca="1" si="101"/>
        <v>4559.7809060979662</v>
      </c>
      <c r="H831" t="str">
        <f t="shared" ca="1" si="102"/>
        <v>Static</v>
      </c>
      <c r="I831" s="26">
        <f t="shared" ca="1" si="103"/>
        <v>-0.12973821972627775</v>
      </c>
    </row>
    <row r="832" spans="1:9" x14ac:dyDescent="0.2">
      <c r="A832">
        <v>829</v>
      </c>
      <c r="B832" s="30">
        <f t="shared" ca="1" si="96"/>
        <v>0.25450528468892919</v>
      </c>
      <c r="C832" t="b">
        <f t="shared" ca="1" si="97"/>
        <v>1</v>
      </c>
      <c r="D832">
        <f t="shared" ca="1" si="98"/>
        <v>27</v>
      </c>
      <c r="E832">
        <f t="shared" ca="1" si="99"/>
        <v>27</v>
      </c>
      <c r="F832" s="26">
        <f t="shared" ca="1" si="100"/>
        <v>4560.0797864693232</v>
      </c>
      <c r="G832" s="26">
        <f t="shared" ca="1" si="101"/>
        <v>4541.6444813554326</v>
      </c>
      <c r="H832" t="str">
        <f t="shared" ca="1" si="102"/>
        <v>Reactive</v>
      </c>
      <c r="I832" s="26">
        <f t="shared" ca="1" si="103"/>
        <v>18.435305113890536</v>
      </c>
    </row>
    <row r="833" spans="1:9" x14ac:dyDescent="0.2">
      <c r="A833">
        <v>830</v>
      </c>
      <c r="B833" s="30">
        <f t="shared" ca="1" si="96"/>
        <v>0.60770545296384892</v>
      </c>
      <c r="C833" t="b">
        <f t="shared" ca="1" si="97"/>
        <v>0</v>
      </c>
      <c r="D833">
        <f t="shared" ca="1" si="98"/>
        <v>27</v>
      </c>
      <c r="E833">
        <f t="shared" ca="1" si="99"/>
        <v>30</v>
      </c>
      <c r="F833" s="26">
        <f t="shared" ca="1" si="100"/>
        <v>4559.7234096436914</v>
      </c>
      <c r="G833" s="26">
        <f t="shared" ca="1" si="101"/>
        <v>4561.1512441840296</v>
      </c>
      <c r="H833" t="str">
        <f t="shared" ca="1" si="102"/>
        <v>Static</v>
      </c>
      <c r="I833" s="26">
        <f t="shared" ca="1" si="103"/>
        <v>-1.4278345403381536</v>
      </c>
    </row>
    <row r="834" spans="1:9" x14ac:dyDescent="0.2">
      <c r="A834">
        <v>831</v>
      </c>
      <c r="B834" s="30">
        <f t="shared" ca="1" si="96"/>
        <v>0.26196226524910982</v>
      </c>
      <c r="C834" t="b">
        <f t="shared" ca="1" si="97"/>
        <v>1</v>
      </c>
      <c r="D834">
        <f t="shared" ca="1" si="98"/>
        <v>30</v>
      </c>
      <c r="E834">
        <f t="shared" ca="1" si="99"/>
        <v>30</v>
      </c>
      <c r="F834" s="26">
        <f t="shared" ca="1" si="100"/>
        <v>4557.6436243984526</v>
      </c>
      <c r="G834" s="26">
        <f t="shared" ca="1" si="101"/>
        <v>4543.1621842493305</v>
      </c>
      <c r="H834" t="str">
        <f t="shared" ca="1" si="102"/>
        <v>Reactive</v>
      </c>
      <c r="I834" s="26">
        <f t="shared" ca="1" si="103"/>
        <v>14.481440149122136</v>
      </c>
    </row>
    <row r="835" spans="1:9" x14ac:dyDescent="0.2">
      <c r="A835">
        <v>832</v>
      </c>
      <c r="B835" s="30">
        <f t="shared" ca="1" si="96"/>
        <v>0.44309497018162713</v>
      </c>
      <c r="C835" t="b">
        <f t="shared" ca="1" si="97"/>
        <v>0</v>
      </c>
      <c r="D835">
        <f t="shared" ca="1" si="98"/>
        <v>28</v>
      </c>
      <c r="E835">
        <f t="shared" ca="1" si="99"/>
        <v>30</v>
      </c>
      <c r="F835" s="26">
        <f t="shared" ca="1" si="100"/>
        <v>4558.3074586697303</v>
      </c>
      <c r="G835" s="26">
        <f t="shared" ca="1" si="101"/>
        <v>4559.9073833395578</v>
      </c>
      <c r="H835" t="str">
        <f t="shared" ca="1" si="102"/>
        <v>Static</v>
      </c>
      <c r="I835" s="26">
        <f t="shared" ca="1" si="103"/>
        <v>-1.5999246698274874</v>
      </c>
    </row>
    <row r="836" spans="1:9" x14ac:dyDescent="0.2">
      <c r="A836">
        <v>833</v>
      </c>
      <c r="B836" s="30">
        <f t="shared" ref="B836:B899" ca="1" si="104">RAND()</f>
        <v>0.28542793364180707</v>
      </c>
      <c r="C836" t="b">
        <f t="shared" ref="C836:C899" ca="1" si="105">B836&lt;ProbSC</f>
        <v>1</v>
      </c>
      <c r="D836">
        <f t="shared" ref="D836:D899" ca="1" si="106">ReactMin+INT(RAND()*(ReactMax-ReactMin+1))</f>
        <v>26</v>
      </c>
      <c r="E836">
        <f t="shared" ref="E836:E899" ca="1" si="107">IF(C836,D836,MustLap)</f>
        <v>26</v>
      </c>
      <c r="F836" s="26">
        <f t="shared" ref="F836:F899" ca="1" si="108">BaseLap*Laps+Deg*(PlanLap*(PlanLap-1)/2+(Laps-PlanLap)*(Laps-PlanLap-1)/2)+PitGreen+NORMINV(RAND(),0,NoiseSD)</f>
        <v>4559.5134824669349</v>
      </c>
      <c r="G836" s="26">
        <f t="shared" ref="G836:G899" ca="1" si="109">BaseLap*Laps+Deg*(E836*(E836-1)/2+(Laps-E836)*(Laps-E836-1)/2)+IF(C836,PitSC,PitGreen)+NORMINV(RAND(),0,NoiseSD)</f>
        <v>4540.4576478746076</v>
      </c>
      <c r="H836" t="str">
        <f t="shared" ref="H836:H899" ca="1" si="110">IF(F836&lt;G836,"Static","Reactive")</f>
        <v>Reactive</v>
      </c>
      <c r="I836" s="26">
        <f t="shared" ref="I836:I899" ca="1" si="111">F836-G836</f>
        <v>19.055834592327301</v>
      </c>
    </row>
    <row r="837" spans="1:9" x14ac:dyDescent="0.2">
      <c r="A837">
        <v>834</v>
      </c>
      <c r="B837" s="30">
        <f t="shared" ca="1" si="104"/>
        <v>0.86601868858999176</v>
      </c>
      <c r="C837" t="b">
        <f t="shared" ca="1" si="105"/>
        <v>0</v>
      </c>
      <c r="D837">
        <f t="shared" ca="1" si="106"/>
        <v>27</v>
      </c>
      <c r="E837">
        <f t="shared" ca="1" si="107"/>
        <v>30</v>
      </c>
      <c r="F837" s="26">
        <f t="shared" ca="1" si="108"/>
        <v>4560.0054147584333</v>
      </c>
      <c r="G837" s="26">
        <f t="shared" ca="1" si="109"/>
        <v>4560.8068750270149</v>
      </c>
      <c r="H837" t="str">
        <f t="shared" ca="1" si="110"/>
        <v>Static</v>
      </c>
      <c r="I837" s="26">
        <f t="shared" ca="1" si="111"/>
        <v>-0.80146026858164987</v>
      </c>
    </row>
    <row r="838" spans="1:9" x14ac:dyDescent="0.2">
      <c r="A838">
        <v>835</v>
      </c>
      <c r="B838" s="30">
        <f t="shared" ca="1" si="104"/>
        <v>8.4453384157995859E-2</v>
      </c>
      <c r="C838" t="b">
        <f t="shared" ca="1" si="105"/>
        <v>1</v>
      </c>
      <c r="D838">
        <f t="shared" ca="1" si="106"/>
        <v>27</v>
      </c>
      <c r="E838">
        <f t="shared" ca="1" si="107"/>
        <v>27</v>
      </c>
      <c r="F838" s="26">
        <f t="shared" ca="1" si="108"/>
        <v>4560.0266000493084</v>
      </c>
      <c r="G838" s="26">
        <f t="shared" ca="1" si="109"/>
        <v>4541.9908946278056</v>
      </c>
      <c r="H838" t="str">
        <f t="shared" ca="1" si="110"/>
        <v>Reactive</v>
      </c>
      <c r="I838" s="26">
        <f t="shared" ca="1" si="111"/>
        <v>18.035705421502826</v>
      </c>
    </row>
    <row r="839" spans="1:9" x14ac:dyDescent="0.2">
      <c r="A839">
        <v>836</v>
      </c>
      <c r="B839" s="30">
        <f t="shared" ca="1" si="104"/>
        <v>0.24700928543094591</v>
      </c>
      <c r="C839" t="b">
        <f t="shared" ca="1" si="105"/>
        <v>1</v>
      </c>
      <c r="D839">
        <f t="shared" ca="1" si="106"/>
        <v>29</v>
      </c>
      <c r="E839">
        <f t="shared" ca="1" si="107"/>
        <v>29</v>
      </c>
      <c r="F839" s="26">
        <f t="shared" ca="1" si="108"/>
        <v>4558.9384445314799</v>
      </c>
      <c r="G839" s="26">
        <f t="shared" ca="1" si="109"/>
        <v>4542.4424566730686</v>
      </c>
      <c r="H839" t="str">
        <f t="shared" ca="1" si="110"/>
        <v>Reactive</v>
      </c>
      <c r="I839" s="26">
        <f t="shared" ca="1" si="111"/>
        <v>16.495987858411354</v>
      </c>
    </row>
    <row r="840" spans="1:9" x14ac:dyDescent="0.2">
      <c r="A840">
        <v>837</v>
      </c>
      <c r="B840" s="30">
        <f t="shared" ca="1" si="104"/>
        <v>0.68294127470685673</v>
      </c>
      <c r="C840" t="b">
        <f t="shared" ca="1" si="105"/>
        <v>0</v>
      </c>
      <c r="D840">
        <f t="shared" ca="1" si="106"/>
        <v>30</v>
      </c>
      <c r="E840">
        <f t="shared" ca="1" si="107"/>
        <v>30</v>
      </c>
      <c r="F840" s="26">
        <f t="shared" ca="1" si="108"/>
        <v>4558.337751572506</v>
      </c>
      <c r="G840" s="26">
        <f t="shared" ca="1" si="109"/>
        <v>4560.8321094928287</v>
      </c>
      <c r="H840" t="str">
        <f t="shared" ca="1" si="110"/>
        <v>Static</v>
      </c>
      <c r="I840" s="26">
        <f t="shared" ca="1" si="111"/>
        <v>-2.4943579203227273</v>
      </c>
    </row>
    <row r="841" spans="1:9" x14ac:dyDescent="0.2">
      <c r="A841">
        <v>838</v>
      </c>
      <c r="B841" s="30">
        <f t="shared" ca="1" si="104"/>
        <v>0.12330761953826197</v>
      </c>
      <c r="C841" t="b">
        <f t="shared" ca="1" si="105"/>
        <v>1</v>
      </c>
      <c r="D841">
        <f t="shared" ca="1" si="106"/>
        <v>29</v>
      </c>
      <c r="E841">
        <f t="shared" ca="1" si="107"/>
        <v>29</v>
      </c>
      <c r="F841" s="26">
        <f t="shared" ca="1" si="108"/>
        <v>4560.1378424071827</v>
      </c>
      <c r="G841" s="26">
        <f t="shared" ca="1" si="109"/>
        <v>4543.1258729911497</v>
      </c>
      <c r="H841" t="str">
        <f t="shared" ca="1" si="110"/>
        <v>Reactive</v>
      </c>
      <c r="I841" s="26">
        <f t="shared" ca="1" si="111"/>
        <v>17.011969416033025</v>
      </c>
    </row>
    <row r="842" spans="1:9" x14ac:dyDescent="0.2">
      <c r="A842">
        <v>839</v>
      </c>
      <c r="B842" s="30">
        <f t="shared" ca="1" si="104"/>
        <v>0.56168633354261066</v>
      </c>
      <c r="C842" t="b">
        <f t="shared" ca="1" si="105"/>
        <v>0</v>
      </c>
      <c r="D842">
        <f t="shared" ca="1" si="106"/>
        <v>29</v>
      </c>
      <c r="E842">
        <f t="shared" ca="1" si="107"/>
        <v>30</v>
      </c>
      <c r="F842" s="26">
        <f t="shared" ca="1" si="108"/>
        <v>4560.5362810249562</v>
      </c>
      <c r="G842" s="26">
        <f t="shared" ca="1" si="109"/>
        <v>4560.7181299589574</v>
      </c>
      <c r="H842" t="str">
        <f t="shared" ca="1" si="110"/>
        <v>Static</v>
      </c>
      <c r="I842" s="26">
        <f t="shared" ca="1" si="111"/>
        <v>-0.18184893400120927</v>
      </c>
    </row>
    <row r="843" spans="1:9" x14ac:dyDescent="0.2">
      <c r="A843">
        <v>840</v>
      </c>
      <c r="B843" s="30">
        <f t="shared" ca="1" si="104"/>
        <v>0.39431785247609319</v>
      </c>
      <c r="C843" t="b">
        <f t="shared" ca="1" si="105"/>
        <v>0</v>
      </c>
      <c r="D843">
        <f t="shared" ca="1" si="106"/>
        <v>30</v>
      </c>
      <c r="E843">
        <f t="shared" ca="1" si="107"/>
        <v>30</v>
      </c>
      <c r="F843" s="26">
        <f t="shared" ca="1" si="108"/>
        <v>4558.4911683831324</v>
      </c>
      <c r="G843" s="26">
        <f t="shared" ca="1" si="109"/>
        <v>4560.2910900562556</v>
      </c>
      <c r="H843" t="str">
        <f t="shared" ca="1" si="110"/>
        <v>Static</v>
      </c>
      <c r="I843" s="26">
        <f t="shared" ca="1" si="111"/>
        <v>-1.7999216731232082</v>
      </c>
    </row>
    <row r="844" spans="1:9" x14ac:dyDescent="0.2">
      <c r="A844">
        <v>841</v>
      </c>
      <c r="B844" s="30">
        <f t="shared" ca="1" si="104"/>
        <v>0.78990339256685749</v>
      </c>
      <c r="C844" t="b">
        <f t="shared" ca="1" si="105"/>
        <v>0</v>
      </c>
      <c r="D844">
        <f t="shared" ca="1" si="106"/>
        <v>28</v>
      </c>
      <c r="E844">
        <f t="shared" ca="1" si="107"/>
        <v>30</v>
      </c>
      <c r="F844" s="26">
        <f t="shared" ca="1" si="108"/>
        <v>4559.6110936009109</v>
      </c>
      <c r="G844" s="26">
        <f t="shared" ca="1" si="109"/>
        <v>4560.1553244319366</v>
      </c>
      <c r="H844" t="str">
        <f t="shared" ca="1" si="110"/>
        <v>Static</v>
      </c>
      <c r="I844" s="26">
        <f t="shared" ca="1" si="111"/>
        <v>-0.5442308310257431</v>
      </c>
    </row>
    <row r="845" spans="1:9" x14ac:dyDescent="0.2">
      <c r="A845">
        <v>842</v>
      </c>
      <c r="B845" s="30">
        <f t="shared" ca="1" si="104"/>
        <v>0.65321157833696186</v>
      </c>
      <c r="C845" t="b">
        <f t="shared" ca="1" si="105"/>
        <v>0</v>
      </c>
      <c r="D845">
        <f t="shared" ca="1" si="106"/>
        <v>28</v>
      </c>
      <c r="E845">
        <f t="shared" ca="1" si="107"/>
        <v>30</v>
      </c>
      <c r="F845" s="26">
        <f t="shared" ca="1" si="108"/>
        <v>4559.8289849636549</v>
      </c>
      <c r="G845" s="26">
        <f t="shared" ca="1" si="109"/>
        <v>4563.0427879317067</v>
      </c>
      <c r="H845" t="str">
        <f t="shared" ca="1" si="110"/>
        <v>Static</v>
      </c>
      <c r="I845" s="26">
        <f t="shared" ca="1" si="111"/>
        <v>-3.213802968051823</v>
      </c>
    </row>
    <row r="846" spans="1:9" x14ac:dyDescent="0.2">
      <c r="A846">
        <v>843</v>
      </c>
      <c r="B846" s="30">
        <f t="shared" ca="1" si="104"/>
        <v>0.8894368273079658</v>
      </c>
      <c r="C846" t="b">
        <f t="shared" ca="1" si="105"/>
        <v>0</v>
      </c>
      <c r="D846">
        <f t="shared" ca="1" si="106"/>
        <v>30</v>
      </c>
      <c r="E846">
        <f t="shared" ca="1" si="107"/>
        <v>30</v>
      </c>
      <c r="F846" s="26">
        <f t="shared" ca="1" si="108"/>
        <v>4558.9174950475972</v>
      </c>
      <c r="G846" s="26">
        <f t="shared" ca="1" si="109"/>
        <v>4559.9368000896693</v>
      </c>
      <c r="H846" t="str">
        <f t="shared" ca="1" si="110"/>
        <v>Static</v>
      </c>
      <c r="I846" s="26">
        <f t="shared" ca="1" si="111"/>
        <v>-1.0193050420721192</v>
      </c>
    </row>
    <row r="847" spans="1:9" x14ac:dyDescent="0.2">
      <c r="A847">
        <v>844</v>
      </c>
      <c r="B847" s="30">
        <f t="shared" ca="1" si="104"/>
        <v>9.6101244226848292E-3</v>
      </c>
      <c r="C847" t="b">
        <f t="shared" ca="1" si="105"/>
        <v>1</v>
      </c>
      <c r="D847">
        <f t="shared" ca="1" si="106"/>
        <v>28</v>
      </c>
      <c r="E847">
        <f t="shared" ca="1" si="107"/>
        <v>28</v>
      </c>
      <c r="F847" s="26">
        <f t="shared" ca="1" si="108"/>
        <v>4558.6619002959033</v>
      </c>
      <c r="G847" s="26">
        <f t="shared" ca="1" si="109"/>
        <v>4544.0492003958689</v>
      </c>
      <c r="H847" t="str">
        <f t="shared" ca="1" si="110"/>
        <v>Reactive</v>
      </c>
      <c r="I847" s="26">
        <f t="shared" ca="1" si="111"/>
        <v>14.612699900034386</v>
      </c>
    </row>
    <row r="848" spans="1:9" x14ac:dyDescent="0.2">
      <c r="A848">
        <v>845</v>
      </c>
      <c r="B848" s="30">
        <f t="shared" ca="1" si="104"/>
        <v>5.7789685864533036E-2</v>
      </c>
      <c r="C848" t="b">
        <f t="shared" ca="1" si="105"/>
        <v>1</v>
      </c>
      <c r="D848">
        <f t="shared" ca="1" si="106"/>
        <v>27</v>
      </c>
      <c r="E848">
        <f t="shared" ca="1" si="107"/>
        <v>27</v>
      </c>
      <c r="F848" s="26">
        <f t="shared" ca="1" si="108"/>
        <v>4559.9139845267855</v>
      </c>
      <c r="G848" s="26">
        <f t="shared" ca="1" si="109"/>
        <v>4542.8112782960334</v>
      </c>
      <c r="H848" t="str">
        <f t="shared" ca="1" si="110"/>
        <v>Reactive</v>
      </c>
      <c r="I848" s="26">
        <f t="shared" ca="1" si="111"/>
        <v>17.102706230752119</v>
      </c>
    </row>
    <row r="849" spans="1:9" x14ac:dyDescent="0.2">
      <c r="A849">
        <v>846</v>
      </c>
      <c r="B849" s="30">
        <f t="shared" ca="1" si="104"/>
        <v>2.903843380493798E-2</v>
      </c>
      <c r="C849" t="b">
        <f t="shared" ca="1" si="105"/>
        <v>1</v>
      </c>
      <c r="D849">
        <f t="shared" ca="1" si="106"/>
        <v>26</v>
      </c>
      <c r="E849">
        <f t="shared" ca="1" si="107"/>
        <v>26</v>
      </c>
      <c r="F849" s="26">
        <f t="shared" ca="1" si="108"/>
        <v>4560.2928870358128</v>
      </c>
      <c r="G849" s="26">
        <f t="shared" ca="1" si="109"/>
        <v>4541.7320252942018</v>
      </c>
      <c r="H849" t="str">
        <f t="shared" ca="1" si="110"/>
        <v>Reactive</v>
      </c>
      <c r="I849" s="26">
        <f t="shared" ca="1" si="111"/>
        <v>18.560861741611006</v>
      </c>
    </row>
    <row r="850" spans="1:9" x14ac:dyDescent="0.2">
      <c r="A850">
        <v>847</v>
      </c>
      <c r="B850" s="30">
        <f t="shared" ca="1" si="104"/>
        <v>0.30293104656249348</v>
      </c>
      <c r="C850" t="b">
        <f t="shared" ca="1" si="105"/>
        <v>1</v>
      </c>
      <c r="D850">
        <f t="shared" ca="1" si="106"/>
        <v>27</v>
      </c>
      <c r="E850">
        <f t="shared" ca="1" si="107"/>
        <v>27</v>
      </c>
      <c r="F850" s="26">
        <f t="shared" ca="1" si="108"/>
        <v>4559.0223667685432</v>
      </c>
      <c r="G850" s="26">
        <f t="shared" ca="1" si="109"/>
        <v>4542.5455967766948</v>
      </c>
      <c r="H850" t="str">
        <f t="shared" ca="1" si="110"/>
        <v>Reactive</v>
      </c>
      <c r="I850" s="26">
        <f t="shared" ca="1" si="111"/>
        <v>16.476769991848414</v>
      </c>
    </row>
    <row r="851" spans="1:9" x14ac:dyDescent="0.2">
      <c r="A851">
        <v>848</v>
      </c>
      <c r="B851" s="30">
        <f t="shared" ca="1" si="104"/>
        <v>0.89733269123124337</v>
      </c>
      <c r="C851" t="b">
        <f t="shared" ca="1" si="105"/>
        <v>0</v>
      </c>
      <c r="D851">
        <f t="shared" ca="1" si="106"/>
        <v>27</v>
      </c>
      <c r="E851">
        <f t="shared" ca="1" si="107"/>
        <v>30</v>
      </c>
      <c r="F851" s="26">
        <f t="shared" ca="1" si="108"/>
        <v>4559.5547906244228</v>
      </c>
      <c r="G851" s="26">
        <f t="shared" ca="1" si="109"/>
        <v>4560.6262514737073</v>
      </c>
      <c r="H851" t="str">
        <f t="shared" ca="1" si="110"/>
        <v>Static</v>
      </c>
      <c r="I851" s="26">
        <f t="shared" ca="1" si="111"/>
        <v>-1.0714608492844491</v>
      </c>
    </row>
    <row r="852" spans="1:9" x14ac:dyDescent="0.2">
      <c r="A852">
        <v>849</v>
      </c>
      <c r="B852" s="30">
        <f t="shared" ca="1" si="104"/>
        <v>0.94668846250478744</v>
      </c>
      <c r="C852" t="b">
        <f t="shared" ca="1" si="105"/>
        <v>0</v>
      </c>
      <c r="D852">
        <f t="shared" ca="1" si="106"/>
        <v>29</v>
      </c>
      <c r="E852">
        <f t="shared" ca="1" si="107"/>
        <v>30</v>
      </c>
      <c r="F852" s="26">
        <f t="shared" ca="1" si="108"/>
        <v>4559.0683365039113</v>
      </c>
      <c r="G852" s="26">
        <f t="shared" ca="1" si="109"/>
        <v>4562.5644762397769</v>
      </c>
      <c r="H852" t="str">
        <f t="shared" ca="1" si="110"/>
        <v>Static</v>
      </c>
      <c r="I852" s="26">
        <f t="shared" ca="1" si="111"/>
        <v>-3.4961397358656541</v>
      </c>
    </row>
    <row r="853" spans="1:9" x14ac:dyDescent="0.2">
      <c r="A853">
        <v>850</v>
      </c>
      <c r="B853" s="30">
        <f t="shared" ca="1" si="104"/>
        <v>0.34048632921613375</v>
      </c>
      <c r="C853" t="b">
        <f t="shared" ca="1" si="105"/>
        <v>1</v>
      </c>
      <c r="D853">
        <f t="shared" ca="1" si="106"/>
        <v>28</v>
      </c>
      <c r="E853">
        <f t="shared" ca="1" si="107"/>
        <v>28</v>
      </c>
      <c r="F853" s="26">
        <f t="shared" ca="1" si="108"/>
        <v>4558.7072215398639</v>
      </c>
      <c r="G853" s="26">
        <f t="shared" ca="1" si="109"/>
        <v>4542.2634075601454</v>
      </c>
      <c r="H853" t="str">
        <f t="shared" ca="1" si="110"/>
        <v>Reactive</v>
      </c>
      <c r="I853" s="26">
        <f t="shared" ca="1" si="111"/>
        <v>16.44381397971847</v>
      </c>
    </row>
    <row r="854" spans="1:9" x14ac:dyDescent="0.2">
      <c r="A854">
        <v>851</v>
      </c>
      <c r="B854" s="30">
        <f t="shared" ca="1" si="104"/>
        <v>4.585707644670256E-2</v>
      </c>
      <c r="C854" t="b">
        <f t="shared" ca="1" si="105"/>
        <v>1</v>
      </c>
      <c r="D854">
        <f t="shared" ca="1" si="106"/>
        <v>27</v>
      </c>
      <c r="E854">
        <f t="shared" ca="1" si="107"/>
        <v>27</v>
      </c>
      <c r="F854" s="26">
        <f t="shared" ca="1" si="108"/>
        <v>4557.7423978611496</v>
      </c>
      <c r="G854" s="26">
        <f t="shared" ca="1" si="109"/>
        <v>4541.1303970388772</v>
      </c>
      <c r="H854" t="str">
        <f t="shared" ca="1" si="110"/>
        <v>Reactive</v>
      </c>
      <c r="I854" s="26">
        <f t="shared" ca="1" si="111"/>
        <v>16.612000822272421</v>
      </c>
    </row>
    <row r="855" spans="1:9" x14ac:dyDescent="0.2">
      <c r="A855">
        <v>852</v>
      </c>
      <c r="B855" s="30">
        <f t="shared" ca="1" si="104"/>
        <v>0.96961940806262314</v>
      </c>
      <c r="C855" t="b">
        <f t="shared" ca="1" si="105"/>
        <v>0</v>
      </c>
      <c r="D855">
        <f t="shared" ca="1" si="106"/>
        <v>26</v>
      </c>
      <c r="E855">
        <f t="shared" ca="1" si="107"/>
        <v>30</v>
      </c>
      <c r="F855" s="26">
        <f t="shared" ca="1" si="108"/>
        <v>4558.8519668231684</v>
      </c>
      <c r="G855" s="26">
        <f t="shared" ca="1" si="109"/>
        <v>4559.4295528516323</v>
      </c>
      <c r="H855" t="str">
        <f t="shared" ca="1" si="110"/>
        <v>Static</v>
      </c>
      <c r="I855" s="26">
        <f t="shared" ca="1" si="111"/>
        <v>-0.57758602846388385</v>
      </c>
    </row>
    <row r="856" spans="1:9" x14ac:dyDescent="0.2">
      <c r="A856">
        <v>853</v>
      </c>
      <c r="B856" s="30">
        <f t="shared" ca="1" si="104"/>
        <v>0.46598563005505234</v>
      </c>
      <c r="C856" t="b">
        <f t="shared" ca="1" si="105"/>
        <v>0</v>
      </c>
      <c r="D856">
        <f t="shared" ca="1" si="106"/>
        <v>28</v>
      </c>
      <c r="E856">
        <f t="shared" ca="1" si="107"/>
        <v>30</v>
      </c>
      <c r="F856" s="26">
        <f t="shared" ca="1" si="108"/>
        <v>4559.1440314524625</v>
      </c>
      <c r="G856" s="26">
        <f t="shared" ca="1" si="109"/>
        <v>4560.2786740622632</v>
      </c>
      <c r="H856" t="str">
        <f t="shared" ca="1" si="110"/>
        <v>Static</v>
      </c>
      <c r="I856" s="26">
        <f t="shared" ca="1" si="111"/>
        <v>-1.1346426098007214</v>
      </c>
    </row>
    <row r="857" spans="1:9" x14ac:dyDescent="0.2">
      <c r="A857">
        <v>854</v>
      </c>
      <c r="B857" s="30">
        <f t="shared" ca="1" si="104"/>
        <v>0.12599211983799596</v>
      </c>
      <c r="C857" t="b">
        <f t="shared" ca="1" si="105"/>
        <v>1</v>
      </c>
      <c r="D857">
        <f t="shared" ca="1" si="106"/>
        <v>26</v>
      </c>
      <c r="E857">
        <f t="shared" ca="1" si="107"/>
        <v>26</v>
      </c>
      <c r="F857" s="26">
        <f t="shared" ca="1" si="108"/>
        <v>4561.4397487317592</v>
      </c>
      <c r="G857" s="26">
        <f t="shared" ca="1" si="109"/>
        <v>4544.3757862264192</v>
      </c>
      <c r="H857" t="str">
        <f t="shared" ca="1" si="110"/>
        <v>Reactive</v>
      </c>
      <c r="I857" s="26">
        <f t="shared" ca="1" si="111"/>
        <v>17.063962505339987</v>
      </c>
    </row>
    <row r="858" spans="1:9" x14ac:dyDescent="0.2">
      <c r="A858">
        <v>855</v>
      </c>
      <c r="B858" s="30">
        <f t="shared" ca="1" si="104"/>
        <v>0.94545460792004166</v>
      </c>
      <c r="C858" t="b">
        <f t="shared" ca="1" si="105"/>
        <v>0</v>
      </c>
      <c r="D858">
        <f t="shared" ca="1" si="106"/>
        <v>28</v>
      </c>
      <c r="E858">
        <f t="shared" ca="1" si="107"/>
        <v>30</v>
      </c>
      <c r="F858" s="26">
        <f t="shared" ca="1" si="108"/>
        <v>4558.4432771264264</v>
      </c>
      <c r="G858" s="26">
        <f t="shared" ca="1" si="109"/>
        <v>4560.4602707984523</v>
      </c>
      <c r="H858" t="str">
        <f t="shared" ca="1" si="110"/>
        <v>Static</v>
      </c>
      <c r="I858" s="26">
        <f t="shared" ca="1" si="111"/>
        <v>-2.0169936720258193</v>
      </c>
    </row>
    <row r="859" spans="1:9" x14ac:dyDescent="0.2">
      <c r="A859">
        <v>856</v>
      </c>
      <c r="B859" s="30">
        <f t="shared" ca="1" si="104"/>
        <v>9.6678235984312355E-2</v>
      </c>
      <c r="C859" t="b">
        <f t="shared" ca="1" si="105"/>
        <v>1</v>
      </c>
      <c r="D859">
        <f t="shared" ca="1" si="106"/>
        <v>29</v>
      </c>
      <c r="E859">
        <f t="shared" ca="1" si="107"/>
        <v>29</v>
      </c>
      <c r="F859" s="26">
        <f t="shared" ca="1" si="108"/>
        <v>4558.9597818322691</v>
      </c>
      <c r="G859" s="26">
        <f t="shared" ca="1" si="109"/>
        <v>4543.2630462412244</v>
      </c>
      <c r="H859" t="str">
        <f t="shared" ca="1" si="110"/>
        <v>Reactive</v>
      </c>
      <c r="I859" s="26">
        <f t="shared" ca="1" si="111"/>
        <v>15.696735591044671</v>
      </c>
    </row>
    <row r="860" spans="1:9" x14ac:dyDescent="0.2">
      <c r="A860">
        <v>857</v>
      </c>
      <c r="B860" s="30">
        <f t="shared" ca="1" si="104"/>
        <v>0.76995828693693591</v>
      </c>
      <c r="C860" t="b">
        <f t="shared" ca="1" si="105"/>
        <v>0</v>
      </c>
      <c r="D860">
        <f t="shared" ca="1" si="106"/>
        <v>30</v>
      </c>
      <c r="E860">
        <f t="shared" ca="1" si="107"/>
        <v>30</v>
      </c>
      <c r="F860" s="26">
        <f t="shared" ca="1" si="108"/>
        <v>4559.1983974205414</v>
      </c>
      <c r="G860" s="26">
        <f t="shared" ca="1" si="109"/>
        <v>4560.7608574087981</v>
      </c>
      <c r="H860" t="str">
        <f t="shared" ca="1" si="110"/>
        <v>Static</v>
      </c>
      <c r="I860" s="26">
        <f t="shared" ca="1" si="111"/>
        <v>-1.5624599882567054</v>
      </c>
    </row>
    <row r="861" spans="1:9" x14ac:dyDescent="0.2">
      <c r="A861">
        <v>858</v>
      </c>
      <c r="B861" s="30">
        <f t="shared" ca="1" si="104"/>
        <v>0.73849952241058892</v>
      </c>
      <c r="C861" t="b">
        <f t="shared" ca="1" si="105"/>
        <v>0</v>
      </c>
      <c r="D861">
        <f t="shared" ca="1" si="106"/>
        <v>26</v>
      </c>
      <c r="E861">
        <f t="shared" ca="1" si="107"/>
        <v>30</v>
      </c>
      <c r="F861" s="26">
        <f t="shared" ca="1" si="108"/>
        <v>4558.041614578844</v>
      </c>
      <c r="G861" s="26">
        <f t="shared" ca="1" si="109"/>
        <v>4560.0236885611639</v>
      </c>
      <c r="H861" t="str">
        <f t="shared" ca="1" si="110"/>
        <v>Static</v>
      </c>
      <c r="I861" s="26">
        <f t="shared" ca="1" si="111"/>
        <v>-1.9820739823198892</v>
      </c>
    </row>
    <row r="862" spans="1:9" x14ac:dyDescent="0.2">
      <c r="A862">
        <v>859</v>
      </c>
      <c r="B862" s="30">
        <f t="shared" ca="1" si="104"/>
        <v>0.95756335814190141</v>
      </c>
      <c r="C862" t="b">
        <f t="shared" ca="1" si="105"/>
        <v>0</v>
      </c>
      <c r="D862">
        <f t="shared" ca="1" si="106"/>
        <v>27</v>
      </c>
      <c r="E862">
        <f t="shared" ca="1" si="107"/>
        <v>30</v>
      </c>
      <c r="F862" s="26">
        <f t="shared" ca="1" si="108"/>
        <v>4561.1434947634953</v>
      </c>
      <c r="G862" s="26">
        <f t="shared" ca="1" si="109"/>
        <v>4560.0655375203551</v>
      </c>
      <c r="H862" t="str">
        <f t="shared" ca="1" si="110"/>
        <v>Reactive</v>
      </c>
      <c r="I862" s="26">
        <f t="shared" ca="1" si="111"/>
        <v>1.0779572431401903</v>
      </c>
    </row>
    <row r="863" spans="1:9" x14ac:dyDescent="0.2">
      <c r="A863">
        <v>860</v>
      </c>
      <c r="B863" s="30">
        <f t="shared" ca="1" si="104"/>
        <v>0.75494940995214566</v>
      </c>
      <c r="C863" t="b">
        <f t="shared" ca="1" si="105"/>
        <v>0</v>
      </c>
      <c r="D863">
        <f t="shared" ca="1" si="106"/>
        <v>30</v>
      </c>
      <c r="E863">
        <f t="shared" ca="1" si="107"/>
        <v>30</v>
      </c>
      <c r="F863" s="26">
        <f t="shared" ca="1" si="108"/>
        <v>4558.2806094443822</v>
      </c>
      <c r="G863" s="26">
        <f t="shared" ca="1" si="109"/>
        <v>4561.7799146114548</v>
      </c>
      <c r="H863" t="str">
        <f t="shared" ca="1" si="110"/>
        <v>Static</v>
      </c>
      <c r="I863" s="26">
        <f t="shared" ca="1" si="111"/>
        <v>-3.4993051670726345</v>
      </c>
    </row>
    <row r="864" spans="1:9" x14ac:dyDescent="0.2">
      <c r="A864">
        <v>861</v>
      </c>
      <c r="B864" s="30">
        <f t="shared" ca="1" si="104"/>
        <v>0.78135817293415954</v>
      </c>
      <c r="C864" t="b">
        <f t="shared" ca="1" si="105"/>
        <v>0</v>
      </c>
      <c r="D864">
        <f t="shared" ca="1" si="106"/>
        <v>30</v>
      </c>
      <c r="E864">
        <f t="shared" ca="1" si="107"/>
        <v>30</v>
      </c>
      <c r="F864" s="26">
        <f t="shared" ca="1" si="108"/>
        <v>4559.2964013413412</v>
      </c>
      <c r="G864" s="26">
        <f t="shared" ca="1" si="109"/>
        <v>4561.5023960634189</v>
      </c>
      <c r="H864" t="str">
        <f t="shared" ca="1" si="110"/>
        <v>Static</v>
      </c>
      <c r="I864" s="26">
        <f t="shared" ca="1" si="111"/>
        <v>-2.2059947220777758</v>
      </c>
    </row>
    <row r="865" spans="1:9" x14ac:dyDescent="0.2">
      <c r="A865">
        <v>862</v>
      </c>
      <c r="B865" s="30">
        <f t="shared" ca="1" si="104"/>
        <v>0.99872543101920208</v>
      </c>
      <c r="C865" t="b">
        <f t="shared" ca="1" si="105"/>
        <v>0</v>
      </c>
      <c r="D865">
        <f t="shared" ca="1" si="106"/>
        <v>30</v>
      </c>
      <c r="E865">
        <f t="shared" ca="1" si="107"/>
        <v>30</v>
      </c>
      <c r="F865" s="26">
        <f t="shared" ca="1" si="108"/>
        <v>4558.7109954606367</v>
      </c>
      <c r="G865" s="26">
        <f t="shared" ca="1" si="109"/>
        <v>4559.908516074318</v>
      </c>
      <c r="H865" t="str">
        <f t="shared" ca="1" si="110"/>
        <v>Static</v>
      </c>
      <c r="I865" s="26">
        <f t="shared" ca="1" si="111"/>
        <v>-1.1975206136812631</v>
      </c>
    </row>
    <row r="866" spans="1:9" x14ac:dyDescent="0.2">
      <c r="A866">
        <v>863</v>
      </c>
      <c r="B866" s="30">
        <f t="shared" ca="1" si="104"/>
        <v>4.115879317724136E-2</v>
      </c>
      <c r="C866" t="b">
        <f t="shared" ca="1" si="105"/>
        <v>1</v>
      </c>
      <c r="D866">
        <f t="shared" ca="1" si="106"/>
        <v>28</v>
      </c>
      <c r="E866">
        <f t="shared" ca="1" si="107"/>
        <v>28</v>
      </c>
      <c r="F866" s="26">
        <f t="shared" ca="1" si="108"/>
        <v>4559.103580028147</v>
      </c>
      <c r="G866" s="26">
        <f t="shared" ca="1" si="109"/>
        <v>4543.6845943972094</v>
      </c>
      <c r="H866" t="str">
        <f t="shared" ca="1" si="110"/>
        <v>Reactive</v>
      </c>
      <c r="I866" s="26">
        <f t="shared" ca="1" si="111"/>
        <v>15.418985630937641</v>
      </c>
    </row>
    <row r="867" spans="1:9" x14ac:dyDescent="0.2">
      <c r="A867">
        <v>864</v>
      </c>
      <c r="B867" s="30">
        <f t="shared" ca="1" si="104"/>
        <v>0.19944267190472664</v>
      </c>
      <c r="C867" t="b">
        <f t="shared" ca="1" si="105"/>
        <v>1</v>
      </c>
      <c r="D867">
        <f t="shared" ca="1" si="106"/>
        <v>29</v>
      </c>
      <c r="E867">
        <f t="shared" ca="1" si="107"/>
        <v>29</v>
      </c>
      <c r="F867" s="26">
        <f t="shared" ca="1" si="108"/>
        <v>4559.7250403872122</v>
      </c>
      <c r="G867" s="26">
        <f t="shared" ca="1" si="109"/>
        <v>4542.9077740239372</v>
      </c>
      <c r="H867" t="str">
        <f t="shared" ca="1" si="110"/>
        <v>Reactive</v>
      </c>
      <c r="I867" s="26">
        <f t="shared" ca="1" si="111"/>
        <v>16.817266363274939</v>
      </c>
    </row>
    <row r="868" spans="1:9" x14ac:dyDescent="0.2">
      <c r="A868">
        <v>865</v>
      </c>
      <c r="B868" s="30">
        <f t="shared" ca="1" si="104"/>
        <v>0.3525377244317458</v>
      </c>
      <c r="C868" t="b">
        <f t="shared" ca="1" si="105"/>
        <v>0</v>
      </c>
      <c r="D868">
        <f t="shared" ca="1" si="106"/>
        <v>26</v>
      </c>
      <c r="E868">
        <f t="shared" ca="1" si="107"/>
        <v>30</v>
      </c>
      <c r="F868" s="26">
        <f t="shared" ca="1" si="108"/>
        <v>4558.794804465083</v>
      </c>
      <c r="G868" s="26">
        <f t="shared" ca="1" si="109"/>
        <v>4560.4755296952699</v>
      </c>
      <c r="H868" t="str">
        <f t="shared" ca="1" si="110"/>
        <v>Static</v>
      </c>
      <c r="I868" s="26">
        <f t="shared" ca="1" si="111"/>
        <v>-1.6807252301869084</v>
      </c>
    </row>
    <row r="869" spans="1:9" x14ac:dyDescent="0.2">
      <c r="A869">
        <v>866</v>
      </c>
      <c r="B869" s="30">
        <f t="shared" ca="1" si="104"/>
        <v>0.15023533622303353</v>
      </c>
      <c r="C869" t="b">
        <f t="shared" ca="1" si="105"/>
        <v>1</v>
      </c>
      <c r="D869">
        <f t="shared" ca="1" si="106"/>
        <v>27</v>
      </c>
      <c r="E869">
        <f t="shared" ca="1" si="107"/>
        <v>27</v>
      </c>
      <c r="F869" s="26">
        <f t="shared" ca="1" si="108"/>
        <v>4557.3125681268357</v>
      </c>
      <c r="G869" s="26">
        <f t="shared" ca="1" si="109"/>
        <v>4542.2011215107032</v>
      </c>
      <c r="H869" t="str">
        <f t="shared" ca="1" si="110"/>
        <v>Reactive</v>
      </c>
      <c r="I869" s="26">
        <f t="shared" ca="1" si="111"/>
        <v>15.111446616132525</v>
      </c>
    </row>
    <row r="870" spans="1:9" x14ac:dyDescent="0.2">
      <c r="A870">
        <v>867</v>
      </c>
      <c r="B870" s="30">
        <f t="shared" ca="1" si="104"/>
        <v>0.26330460213890838</v>
      </c>
      <c r="C870" t="b">
        <f t="shared" ca="1" si="105"/>
        <v>1</v>
      </c>
      <c r="D870">
        <f t="shared" ca="1" si="106"/>
        <v>29</v>
      </c>
      <c r="E870">
        <f t="shared" ca="1" si="107"/>
        <v>29</v>
      </c>
      <c r="F870" s="26">
        <f t="shared" ca="1" si="108"/>
        <v>4559.8792835540999</v>
      </c>
      <c r="G870" s="26">
        <f t="shared" ca="1" si="109"/>
        <v>4543.9909495930133</v>
      </c>
      <c r="H870" t="str">
        <f t="shared" ca="1" si="110"/>
        <v>Reactive</v>
      </c>
      <c r="I870" s="26">
        <f t="shared" ca="1" si="111"/>
        <v>15.888333961086573</v>
      </c>
    </row>
    <row r="871" spans="1:9" x14ac:dyDescent="0.2">
      <c r="A871">
        <v>868</v>
      </c>
      <c r="B871" s="30">
        <f t="shared" ca="1" si="104"/>
        <v>0.58078245466093248</v>
      </c>
      <c r="C871" t="b">
        <f t="shared" ca="1" si="105"/>
        <v>0</v>
      </c>
      <c r="D871">
        <f t="shared" ca="1" si="106"/>
        <v>27</v>
      </c>
      <c r="E871">
        <f t="shared" ca="1" si="107"/>
        <v>30</v>
      </c>
      <c r="F871" s="26">
        <f t="shared" ca="1" si="108"/>
        <v>4558.662931500151</v>
      </c>
      <c r="G871" s="26">
        <f t="shared" ca="1" si="109"/>
        <v>4561.1736660539373</v>
      </c>
      <c r="H871" t="str">
        <f t="shared" ca="1" si="110"/>
        <v>Static</v>
      </c>
      <c r="I871" s="26">
        <f t="shared" ca="1" si="111"/>
        <v>-2.5107345537862784</v>
      </c>
    </row>
    <row r="872" spans="1:9" x14ac:dyDescent="0.2">
      <c r="A872">
        <v>869</v>
      </c>
      <c r="B872" s="30">
        <f t="shared" ca="1" si="104"/>
        <v>0.67070021965053783</v>
      </c>
      <c r="C872" t="b">
        <f t="shared" ca="1" si="105"/>
        <v>0</v>
      </c>
      <c r="D872">
        <f t="shared" ca="1" si="106"/>
        <v>30</v>
      </c>
      <c r="E872">
        <f t="shared" ca="1" si="107"/>
        <v>30</v>
      </c>
      <c r="F872" s="26">
        <f t="shared" ca="1" si="108"/>
        <v>4560.0484487951917</v>
      </c>
      <c r="G872" s="26">
        <f t="shared" ca="1" si="109"/>
        <v>4560.5123168080736</v>
      </c>
      <c r="H872" t="str">
        <f t="shared" ca="1" si="110"/>
        <v>Static</v>
      </c>
      <c r="I872" s="26">
        <f t="shared" ca="1" si="111"/>
        <v>-0.46386801288190327</v>
      </c>
    </row>
    <row r="873" spans="1:9" x14ac:dyDescent="0.2">
      <c r="A873">
        <v>870</v>
      </c>
      <c r="B873" s="30">
        <f t="shared" ca="1" si="104"/>
        <v>0.21448741007243</v>
      </c>
      <c r="C873" t="b">
        <f t="shared" ca="1" si="105"/>
        <v>1</v>
      </c>
      <c r="D873">
        <f t="shared" ca="1" si="106"/>
        <v>26</v>
      </c>
      <c r="E873">
        <f t="shared" ca="1" si="107"/>
        <v>26</v>
      </c>
      <c r="F873" s="26">
        <f t="shared" ca="1" si="108"/>
        <v>4558.8564408813008</v>
      </c>
      <c r="G873" s="26">
        <f t="shared" ca="1" si="109"/>
        <v>4541.1351592199308</v>
      </c>
      <c r="H873" t="str">
        <f t="shared" ca="1" si="110"/>
        <v>Reactive</v>
      </c>
      <c r="I873" s="26">
        <f t="shared" ca="1" si="111"/>
        <v>17.721281661370085</v>
      </c>
    </row>
    <row r="874" spans="1:9" x14ac:dyDescent="0.2">
      <c r="A874">
        <v>871</v>
      </c>
      <c r="B874" s="30">
        <f t="shared" ca="1" si="104"/>
        <v>0.99025575005828881</v>
      </c>
      <c r="C874" t="b">
        <f t="shared" ca="1" si="105"/>
        <v>0</v>
      </c>
      <c r="D874">
        <f t="shared" ca="1" si="106"/>
        <v>29</v>
      </c>
      <c r="E874">
        <f t="shared" ca="1" si="107"/>
        <v>30</v>
      </c>
      <c r="F874" s="26">
        <f t="shared" ca="1" si="108"/>
        <v>4560.0288337530965</v>
      </c>
      <c r="G874" s="26">
        <f t="shared" ca="1" si="109"/>
        <v>4559.3584298170754</v>
      </c>
      <c r="H874" t="str">
        <f t="shared" ca="1" si="110"/>
        <v>Reactive</v>
      </c>
      <c r="I874" s="26">
        <f t="shared" ca="1" si="111"/>
        <v>0.67040393602110271</v>
      </c>
    </row>
    <row r="875" spans="1:9" x14ac:dyDescent="0.2">
      <c r="A875">
        <v>872</v>
      </c>
      <c r="B875" s="30">
        <f t="shared" ca="1" si="104"/>
        <v>0.39595933719364818</v>
      </c>
      <c r="C875" t="b">
        <f t="shared" ca="1" si="105"/>
        <v>0</v>
      </c>
      <c r="D875">
        <f t="shared" ca="1" si="106"/>
        <v>27</v>
      </c>
      <c r="E875">
        <f t="shared" ca="1" si="107"/>
        <v>30</v>
      </c>
      <c r="F875" s="26">
        <f t="shared" ca="1" si="108"/>
        <v>4559.2654261134539</v>
      </c>
      <c r="G875" s="26">
        <f t="shared" ca="1" si="109"/>
        <v>4560.4479939374351</v>
      </c>
      <c r="H875" t="str">
        <f t="shared" ca="1" si="110"/>
        <v>Static</v>
      </c>
      <c r="I875" s="26">
        <f t="shared" ca="1" si="111"/>
        <v>-1.1825678239811168</v>
      </c>
    </row>
    <row r="876" spans="1:9" x14ac:dyDescent="0.2">
      <c r="A876">
        <v>873</v>
      </c>
      <c r="B876" s="30">
        <f t="shared" ca="1" si="104"/>
        <v>0.77865326700151216</v>
      </c>
      <c r="C876" t="b">
        <f t="shared" ca="1" si="105"/>
        <v>0</v>
      </c>
      <c r="D876">
        <f t="shared" ca="1" si="106"/>
        <v>30</v>
      </c>
      <c r="E876">
        <f t="shared" ca="1" si="107"/>
        <v>30</v>
      </c>
      <c r="F876" s="26">
        <f t="shared" ca="1" si="108"/>
        <v>4557.4036310532247</v>
      </c>
      <c r="G876" s="26">
        <f t="shared" ca="1" si="109"/>
        <v>4561.622003064791</v>
      </c>
      <c r="H876" t="str">
        <f t="shared" ca="1" si="110"/>
        <v>Static</v>
      </c>
      <c r="I876" s="26">
        <f t="shared" ca="1" si="111"/>
        <v>-4.2183720115663164</v>
      </c>
    </row>
    <row r="877" spans="1:9" x14ac:dyDescent="0.2">
      <c r="A877">
        <v>874</v>
      </c>
      <c r="B877" s="30">
        <f t="shared" ca="1" si="104"/>
        <v>0.37613500540723555</v>
      </c>
      <c r="C877" t="b">
        <f t="shared" ca="1" si="105"/>
        <v>0</v>
      </c>
      <c r="D877">
        <f t="shared" ca="1" si="106"/>
        <v>30</v>
      </c>
      <c r="E877">
        <f t="shared" ca="1" si="107"/>
        <v>30</v>
      </c>
      <c r="F877" s="26">
        <f t="shared" ca="1" si="108"/>
        <v>4559.2254651480825</v>
      </c>
      <c r="G877" s="26">
        <f t="shared" ca="1" si="109"/>
        <v>4561.1178123230293</v>
      </c>
      <c r="H877" t="str">
        <f t="shared" ca="1" si="110"/>
        <v>Static</v>
      </c>
      <c r="I877" s="26">
        <f t="shared" ca="1" si="111"/>
        <v>-1.8923471749467353</v>
      </c>
    </row>
    <row r="878" spans="1:9" x14ac:dyDescent="0.2">
      <c r="A878">
        <v>875</v>
      </c>
      <c r="B878" s="30">
        <f t="shared" ca="1" si="104"/>
        <v>0.94333943345125892</v>
      </c>
      <c r="C878" t="b">
        <f t="shared" ca="1" si="105"/>
        <v>0</v>
      </c>
      <c r="D878">
        <f t="shared" ca="1" si="106"/>
        <v>28</v>
      </c>
      <c r="E878">
        <f t="shared" ca="1" si="107"/>
        <v>30</v>
      </c>
      <c r="F878" s="26">
        <f t="shared" ca="1" si="108"/>
        <v>4559.1244146053477</v>
      </c>
      <c r="G878" s="26">
        <f t="shared" ca="1" si="109"/>
        <v>4561.3858544649893</v>
      </c>
      <c r="H878" t="str">
        <f t="shared" ca="1" si="110"/>
        <v>Static</v>
      </c>
      <c r="I878" s="26">
        <f t="shared" ca="1" si="111"/>
        <v>-2.2614398596415413</v>
      </c>
    </row>
    <row r="879" spans="1:9" x14ac:dyDescent="0.2">
      <c r="A879">
        <v>876</v>
      </c>
      <c r="B879" s="30">
        <f t="shared" ca="1" si="104"/>
        <v>0.7408116529556944</v>
      </c>
      <c r="C879" t="b">
        <f t="shared" ca="1" si="105"/>
        <v>0</v>
      </c>
      <c r="D879">
        <f t="shared" ca="1" si="106"/>
        <v>29</v>
      </c>
      <c r="E879">
        <f t="shared" ca="1" si="107"/>
        <v>30</v>
      </c>
      <c r="F879" s="26">
        <f t="shared" ca="1" si="108"/>
        <v>4560.7503029862</v>
      </c>
      <c r="G879" s="26">
        <f t="shared" ca="1" si="109"/>
        <v>4559.7758481907722</v>
      </c>
      <c r="H879" t="str">
        <f t="shared" ca="1" si="110"/>
        <v>Reactive</v>
      </c>
      <c r="I879" s="26">
        <f t="shared" ca="1" si="111"/>
        <v>0.97445479542784597</v>
      </c>
    </row>
    <row r="880" spans="1:9" x14ac:dyDescent="0.2">
      <c r="A880">
        <v>877</v>
      </c>
      <c r="B880" s="30">
        <f t="shared" ca="1" si="104"/>
        <v>0.20899364087447214</v>
      </c>
      <c r="C880" t="b">
        <f t="shared" ca="1" si="105"/>
        <v>1</v>
      </c>
      <c r="D880">
        <f t="shared" ca="1" si="106"/>
        <v>28</v>
      </c>
      <c r="E880">
        <f t="shared" ca="1" si="107"/>
        <v>28</v>
      </c>
      <c r="F880" s="26">
        <f t="shared" ca="1" si="108"/>
        <v>4558.5082594614332</v>
      </c>
      <c r="G880" s="26">
        <f t="shared" ca="1" si="109"/>
        <v>4541.7426180864049</v>
      </c>
      <c r="H880" t="str">
        <f t="shared" ca="1" si="110"/>
        <v>Reactive</v>
      </c>
      <c r="I880" s="26">
        <f t="shared" ca="1" si="111"/>
        <v>16.765641375028281</v>
      </c>
    </row>
    <row r="881" spans="1:9" x14ac:dyDescent="0.2">
      <c r="A881">
        <v>878</v>
      </c>
      <c r="B881" s="30">
        <f t="shared" ca="1" si="104"/>
        <v>0.16405430990012804</v>
      </c>
      <c r="C881" t="b">
        <f t="shared" ca="1" si="105"/>
        <v>1</v>
      </c>
      <c r="D881">
        <f t="shared" ca="1" si="106"/>
        <v>29</v>
      </c>
      <c r="E881">
        <f t="shared" ca="1" si="107"/>
        <v>29</v>
      </c>
      <c r="F881" s="26">
        <f t="shared" ca="1" si="108"/>
        <v>4557.8933573553513</v>
      </c>
      <c r="G881" s="26">
        <f t="shared" ca="1" si="109"/>
        <v>4544.5465113524588</v>
      </c>
      <c r="H881" t="str">
        <f t="shared" ca="1" si="110"/>
        <v>Reactive</v>
      </c>
      <c r="I881" s="26">
        <f t="shared" ca="1" si="111"/>
        <v>13.346846002892562</v>
      </c>
    </row>
    <row r="882" spans="1:9" x14ac:dyDescent="0.2">
      <c r="A882">
        <v>879</v>
      </c>
      <c r="B882" s="30">
        <f t="shared" ca="1" si="104"/>
        <v>8.4032880526301201E-2</v>
      </c>
      <c r="C882" t="b">
        <f t="shared" ca="1" si="105"/>
        <v>1</v>
      </c>
      <c r="D882">
        <f t="shared" ca="1" si="106"/>
        <v>27</v>
      </c>
      <c r="E882">
        <f t="shared" ca="1" si="107"/>
        <v>27</v>
      </c>
      <c r="F882" s="26">
        <f t="shared" ca="1" si="108"/>
        <v>4558.5481286891145</v>
      </c>
      <c r="G882" s="26">
        <f t="shared" ca="1" si="109"/>
        <v>4544.131858594862</v>
      </c>
      <c r="H882" t="str">
        <f t="shared" ca="1" si="110"/>
        <v>Reactive</v>
      </c>
      <c r="I882" s="26">
        <f t="shared" ca="1" si="111"/>
        <v>14.416270094252468</v>
      </c>
    </row>
    <row r="883" spans="1:9" x14ac:dyDescent="0.2">
      <c r="A883">
        <v>880</v>
      </c>
      <c r="B883" s="30">
        <f t="shared" ca="1" si="104"/>
        <v>0.82983011619880542</v>
      </c>
      <c r="C883" t="b">
        <f t="shared" ca="1" si="105"/>
        <v>0</v>
      </c>
      <c r="D883">
        <f t="shared" ca="1" si="106"/>
        <v>29</v>
      </c>
      <c r="E883">
        <f t="shared" ca="1" si="107"/>
        <v>30</v>
      </c>
      <c r="F883" s="26">
        <f t="shared" ca="1" si="108"/>
        <v>4558.3308629604999</v>
      </c>
      <c r="G883" s="26">
        <f t="shared" ca="1" si="109"/>
        <v>4559.935435116101</v>
      </c>
      <c r="H883" t="str">
        <f t="shared" ca="1" si="110"/>
        <v>Static</v>
      </c>
      <c r="I883" s="26">
        <f t="shared" ca="1" si="111"/>
        <v>-1.6045721556010903</v>
      </c>
    </row>
    <row r="884" spans="1:9" x14ac:dyDescent="0.2">
      <c r="A884">
        <v>881</v>
      </c>
      <c r="B884" s="30">
        <f t="shared" ca="1" si="104"/>
        <v>0.58109672362047193</v>
      </c>
      <c r="C884" t="b">
        <f t="shared" ca="1" si="105"/>
        <v>0</v>
      </c>
      <c r="D884">
        <f t="shared" ca="1" si="106"/>
        <v>26</v>
      </c>
      <c r="E884">
        <f t="shared" ca="1" si="107"/>
        <v>30</v>
      </c>
      <c r="F884" s="26">
        <f t="shared" ca="1" si="108"/>
        <v>4561.0874570007145</v>
      </c>
      <c r="G884" s="26">
        <f t="shared" ca="1" si="109"/>
        <v>4560.5464426427106</v>
      </c>
      <c r="H884" t="str">
        <f t="shared" ca="1" si="110"/>
        <v>Reactive</v>
      </c>
      <c r="I884" s="26">
        <f t="shared" ca="1" si="111"/>
        <v>0.54101435800384934</v>
      </c>
    </row>
    <row r="885" spans="1:9" x14ac:dyDescent="0.2">
      <c r="A885">
        <v>882</v>
      </c>
      <c r="B885" s="30">
        <f t="shared" ca="1" si="104"/>
        <v>0.38240141850243015</v>
      </c>
      <c r="C885" t="b">
        <f t="shared" ca="1" si="105"/>
        <v>0</v>
      </c>
      <c r="D885">
        <f t="shared" ca="1" si="106"/>
        <v>29</v>
      </c>
      <c r="E885">
        <f t="shared" ca="1" si="107"/>
        <v>30</v>
      </c>
      <c r="F885" s="26">
        <f t="shared" ca="1" si="108"/>
        <v>4558.9266579435534</v>
      </c>
      <c r="G885" s="26">
        <f t="shared" ca="1" si="109"/>
        <v>4560.0653607781887</v>
      </c>
      <c r="H885" t="str">
        <f t="shared" ca="1" si="110"/>
        <v>Static</v>
      </c>
      <c r="I885" s="26">
        <f t="shared" ca="1" si="111"/>
        <v>-1.1387028346352963</v>
      </c>
    </row>
    <row r="886" spans="1:9" x14ac:dyDescent="0.2">
      <c r="A886">
        <v>883</v>
      </c>
      <c r="B886" s="30">
        <f t="shared" ca="1" si="104"/>
        <v>8.0251961165393237E-2</v>
      </c>
      <c r="C886" t="b">
        <f t="shared" ca="1" si="105"/>
        <v>1</v>
      </c>
      <c r="D886">
        <f t="shared" ca="1" si="106"/>
        <v>26</v>
      </c>
      <c r="E886">
        <f t="shared" ca="1" si="107"/>
        <v>26</v>
      </c>
      <c r="F886" s="26">
        <f t="shared" ca="1" si="108"/>
        <v>4557.8449907643508</v>
      </c>
      <c r="G886" s="26">
        <f t="shared" ca="1" si="109"/>
        <v>4541.5424408453964</v>
      </c>
      <c r="H886" t="str">
        <f t="shared" ca="1" si="110"/>
        <v>Reactive</v>
      </c>
      <c r="I886" s="26">
        <f t="shared" ca="1" si="111"/>
        <v>16.302549918954355</v>
      </c>
    </row>
    <row r="887" spans="1:9" x14ac:dyDescent="0.2">
      <c r="A887">
        <v>884</v>
      </c>
      <c r="B887" s="30">
        <f t="shared" ca="1" si="104"/>
        <v>0.5438281724641465</v>
      </c>
      <c r="C887" t="b">
        <f t="shared" ca="1" si="105"/>
        <v>0</v>
      </c>
      <c r="D887">
        <f t="shared" ca="1" si="106"/>
        <v>26</v>
      </c>
      <c r="E887">
        <f t="shared" ca="1" si="107"/>
        <v>30</v>
      </c>
      <c r="F887" s="26">
        <f t="shared" ca="1" si="108"/>
        <v>4557.8543404351576</v>
      </c>
      <c r="G887" s="26">
        <f t="shared" ca="1" si="109"/>
        <v>4560.3887476099353</v>
      </c>
      <c r="H887" t="str">
        <f t="shared" ca="1" si="110"/>
        <v>Static</v>
      </c>
      <c r="I887" s="26">
        <f t="shared" ca="1" si="111"/>
        <v>-2.5344071747776979</v>
      </c>
    </row>
    <row r="888" spans="1:9" x14ac:dyDescent="0.2">
      <c r="A888">
        <v>885</v>
      </c>
      <c r="B888" s="30">
        <f t="shared" ca="1" si="104"/>
        <v>0.60605222259284219</v>
      </c>
      <c r="C888" t="b">
        <f t="shared" ca="1" si="105"/>
        <v>0</v>
      </c>
      <c r="D888">
        <f t="shared" ca="1" si="106"/>
        <v>27</v>
      </c>
      <c r="E888">
        <f t="shared" ca="1" si="107"/>
        <v>30</v>
      </c>
      <c r="F888" s="26">
        <f t="shared" ca="1" si="108"/>
        <v>4558.0076108713001</v>
      </c>
      <c r="G888" s="26">
        <f t="shared" ca="1" si="109"/>
        <v>4560.4898034663356</v>
      </c>
      <c r="H888" t="str">
        <f t="shared" ca="1" si="110"/>
        <v>Static</v>
      </c>
      <c r="I888" s="26">
        <f t="shared" ca="1" si="111"/>
        <v>-2.4821925950354853</v>
      </c>
    </row>
    <row r="889" spans="1:9" x14ac:dyDescent="0.2">
      <c r="A889">
        <v>886</v>
      </c>
      <c r="B889" s="30">
        <f t="shared" ca="1" si="104"/>
        <v>0.13513613566159532</v>
      </c>
      <c r="C889" t="b">
        <f t="shared" ca="1" si="105"/>
        <v>1</v>
      </c>
      <c r="D889">
        <f t="shared" ca="1" si="106"/>
        <v>28</v>
      </c>
      <c r="E889">
        <f t="shared" ca="1" si="107"/>
        <v>28</v>
      </c>
      <c r="F889" s="26">
        <f t="shared" ca="1" si="108"/>
        <v>4558.967671669704</v>
      </c>
      <c r="G889" s="26">
        <f t="shared" ca="1" si="109"/>
        <v>4541.9564712439533</v>
      </c>
      <c r="H889" t="str">
        <f t="shared" ca="1" si="110"/>
        <v>Reactive</v>
      </c>
      <c r="I889" s="26">
        <f t="shared" ca="1" si="111"/>
        <v>17.011200425750758</v>
      </c>
    </row>
    <row r="890" spans="1:9" x14ac:dyDescent="0.2">
      <c r="A890">
        <v>887</v>
      </c>
      <c r="B890" s="30">
        <f t="shared" ca="1" si="104"/>
        <v>0.65874863095167613</v>
      </c>
      <c r="C890" t="b">
        <f t="shared" ca="1" si="105"/>
        <v>0</v>
      </c>
      <c r="D890">
        <f t="shared" ca="1" si="106"/>
        <v>29</v>
      </c>
      <c r="E890">
        <f t="shared" ca="1" si="107"/>
        <v>30</v>
      </c>
      <c r="F890" s="26">
        <f t="shared" ca="1" si="108"/>
        <v>4558.5753487039201</v>
      </c>
      <c r="G890" s="26">
        <f t="shared" ca="1" si="109"/>
        <v>4560.9887938114998</v>
      </c>
      <c r="H890" t="str">
        <f t="shared" ca="1" si="110"/>
        <v>Static</v>
      </c>
      <c r="I890" s="26">
        <f t="shared" ca="1" si="111"/>
        <v>-2.4134451075797188</v>
      </c>
    </row>
    <row r="891" spans="1:9" x14ac:dyDescent="0.2">
      <c r="A891">
        <v>888</v>
      </c>
      <c r="B891" s="30">
        <f t="shared" ca="1" si="104"/>
        <v>0.98218467621789274</v>
      </c>
      <c r="C891" t="b">
        <f t="shared" ca="1" si="105"/>
        <v>0</v>
      </c>
      <c r="D891">
        <f t="shared" ca="1" si="106"/>
        <v>30</v>
      </c>
      <c r="E891">
        <f t="shared" ca="1" si="107"/>
        <v>30</v>
      </c>
      <c r="F891" s="26">
        <f t="shared" ca="1" si="108"/>
        <v>4561.0064081391502</v>
      </c>
      <c r="G891" s="26">
        <f t="shared" ca="1" si="109"/>
        <v>4559.5698907800015</v>
      </c>
      <c r="H891" t="str">
        <f t="shared" ca="1" si="110"/>
        <v>Reactive</v>
      </c>
      <c r="I891" s="26">
        <f t="shared" ca="1" si="111"/>
        <v>1.4365173591486382</v>
      </c>
    </row>
    <row r="892" spans="1:9" x14ac:dyDescent="0.2">
      <c r="A892">
        <v>889</v>
      </c>
      <c r="B892" s="30">
        <f t="shared" ca="1" si="104"/>
        <v>0.9619662104881046</v>
      </c>
      <c r="C892" t="b">
        <f t="shared" ca="1" si="105"/>
        <v>0</v>
      </c>
      <c r="D892">
        <f t="shared" ca="1" si="106"/>
        <v>28</v>
      </c>
      <c r="E892">
        <f t="shared" ca="1" si="107"/>
        <v>30</v>
      </c>
      <c r="F892" s="26">
        <f t="shared" ca="1" si="108"/>
        <v>4558.9242522047616</v>
      </c>
      <c r="G892" s="26">
        <f t="shared" ca="1" si="109"/>
        <v>4559.7360621578782</v>
      </c>
      <c r="H892" t="str">
        <f t="shared" ca="1" si="110"/>
        <v>Static</v>
      </c>
      <c r="I892" s="26">
        <f t="shared" ca="1" si="111"/>
        <v>-0.81180995311660809</v>
      </c>
    </row>
    <row r="893" spans="1:9" x14ac:dyDescent="0.2">
      <c r="A893">
        <v>890</v>
      </c>
      <c r="B893" s="30">
        <f t="shared" ca="1" si="104"/>
        <v>0.83126406354655025</v>
      </c>
      <c r="C893" t="b">
        <f t="shared" ca="1" si="105"/>
        <v>0</v>
      </c>
      <c r="D893">
        <f t="shared" ca="1" si="106"/>
        <v>26</v>
      </c>
      <c r="E893">
        <f t="shared" ca="1" si="107"/>
        <v>30</v>
      </c>
      <c r="F893" s="26">
        <f t="shared" ca="1" si="108"/>
        <v>4558.6298666689172</v>
      </c>
      <c r="G893" s="26">
        <f t="shared" ca="1" si="109"/>
        <v>4559.002846944024</v>
      </c>
      <c r="H893" t="str">
        <f t="shared" ca="1" si="110"/>
        <v>Static</v>
      </c>
      <c r="I893" s="26">
        <f t="shared" ca="1" si="111"/>
        <v>-0.37298027510678367</v>
      </c>
    </row>
    <row r="894" spans="1:9" x14ac:dyDescent="0.2">
      <c r="A894">
        <v>891</v>
      </c>
      <c r="B894" s="30">
        <f t="shared" ca="1" si="104"/>
        <v>0.30453666975598304</v>
      </c>
      <c r="C894" t="b">
        <f t="shared" ca="1" si="105"/>
        <v>1</v>
      </c>
      <c r="D894">
        <f t="shared" ca="1" si="106"/>
        <v>29</v>
      </c>
      <c r="E894">
        <f t="shared" ca="1" si="107"/>
        <v>29</v>
      </c>
      <c r="F894" s="26">
        <f t="shared" ca="1" si="108"/>
        <v>4558.0040860212648</v>
      </c>
      <c r="G894" s="26">
        <f t="shared" ca="1" si="109"/>
        <v>4542.4826701139446</v>
      </c>
      <c r="H894" t="str">
        <f t="shared" ca="1" si="110"/>
        <v>Reactive</v>
      </c>
      <c r="I894" s="26">
        <f t="shared" ca="1" si="111"/>
        <v>15.521415907320261</v>
      </c>
    </row>
    <row r="895" spans="1:9" x14ac:dyDescent="0.2">
      <c r="A895">
        <v>892</v>
      </c>
      <c r="B895" s="30">
        <f t="shared" ca="1" si="104"/>
        <v>0.24570614921060308</v>
      </c>
      <c r="C895" t="b">
        <f t="shared" ca="1" si="105"/>
        <v>1</v>
      </c>
      <c r="D895">
        <f t="shared" ca="1" si="106"/>
        <v>29</v>
      </c>
      <c r="E895">
        <f t="shared" ca="1" si="107"/>
        <v>29</v>
      </c>
      <c r="F895" s="26">
        <f t="shared" ca="1" si="108"/>
        <v>4558.5735697030141</v>
      </c>
      <c r="G895" s="26">
        <f t="shared" ca="1" si="109"/>
        <v>4543.9156818287956</v>
      </c>
      <c r="H895" t="str">
        <f t="shared" ca="1" si="110"/>
        <v>Reactive</v>
      </c>
      <c r="I895" s="26">
        <f t="shared" ca="1" si="111"/>
        <v>14.657887874218432</v>
      </c>
    </row>
    <row r="896" spans="1:9" x14ac:dyDescent="0.2">
      <c r="A896">
        <v>893</v>
      </c>
      <c r="B896" s="30">
        <f t="shared" ca="1" si="104"/>
        <v>0.53737250505929934</v>
      </c>
      <c r="C896" t="b">
        <f t="shared" ca="1" si="105"/>
        <v>0</v>
      </c>
      <c r="D896">
        <f t="shared" ca="1" si="106"/>
        <v>29</v>
      </c>
      <c r="E896">
        <f t="shared" ca="1" si="107"/>
        <v>30</v>
      </c>
      <c r="F896" s="26">
        <f t="shared" ca="1" si="108"/>
        <v>4560.1150535215338</v>
      </c>
      <c r="G896" s="26">
        <f t="shared" ca="1" si="109"/>
        <v>4560.7016295330432</v>
      </c>
      <c r="H896" t="str">
        <f t="shared" ca="1" si="110"/>
        <v>Static</v>
      </c>
      <c r="I896" s="26">
        <f t="shared" ca="1" si="111"/>
        <v>-0.58657601150935079</v>
      </c>
    </row>
    <row r="897" spans="1:9" x14ac:dyDescent="0.2">
      <c r="A897">
        <v>894</v>
      </c>
      <c r="B897" s="30">
        <f t="shared" ca="1" si="104"/>
        <v>0.72399435988566219</v>
      </c>
      <c r="C897" t="b">
        <f t="shared" ca="1" si="105"/>
        <v>0</v>
      </c>
      <c r="D897">
        <f t="shared" ca="1" si="106"/>
        <v>28</v>
      </c>
      <c r="E897">
        <f t="shared" ca="1" si="107"/>
        <v>30</v>
      </c>
      <c r="F897" s="26">
        <f t="shared" ca="1" si="108"/>
        <v>4558.4804456657148</v>
      </c>
      <c r="G897" s="26">
        <f t="shared" ca="1" si="109"/>
        <v>4559.3918669356981</v>
      </c>
      <c r="H897" t="str">
        <f t="shared" ca="1" si="110"/>
        <v>Static</v>
      </c>
      <c r="I897" s="26">
        <f t="shared" ca="1" si="111"/>
        <v>-0.91142126998329331</v>
      </c>
    </row>
    <row r="898" spans="1:9" x14ac:dyDescent="0.2">
      <c r="A898">
        <v>895</v>
      </c>
      <c r="B898" s="30">
        <f t="shared" ca="1" si="104"/>
        <v>2.611176739754939E-2</v>
      </c>
      <c r="C898" t="b">
        <f t="shared" ca="1" si="105"/>
        <v>1</v>
      </c>
      <c r="D898">
        <f t="shared" ca="1" si="106"/>
        <v>30</v>
      </c>
      <c r="E898">
        <f t="shared" ca="1" si="107"/>
        <v>30</v>
      </c>
      <c r="F898" s="26">
        <f t="shared" ca="1" si="108"/>
        <v>4558.1093817954961</v>
      </c>
      <c r="G898" s="26">
        <f t="shared" ca="1" si="109"/>
        <v>4544.2364080268298</v>
      </c>
      <c r="H898" t="str">
        <f t="shared" ca="1" si="110"/>
        <v>Reactive</v>
      </c>
      <c r="I898" s="26">
        <f t="shared" ca="1" si="111"/>
        <v>13.87297376866627</v>
      </c>
    </row>
    <row r="899" spans="1:9" x14ac:dyDescent="0.2">
      <c r="A899">
        <v>896</v>
      </c>
      <c r="B899" s="30">
        <f t="shared" ca="1" si="104"/>
        <v>0.49461043562694529</v>
      </c>
      <c r="C899" t="b">
        <f t="shared" ca="1" si="105"/>
        <v>0</v>
      </c>
      <c r="D899">
        <f t="shared" ca="1" si="106"/>
        <v>26</v>
      </c>
      <c r="E899">
        <f t="shared" ca="1" si="107"/>
        <v>30</v>
      </c>
      <c r="F899" s="26">
        <f t="shared" ca="1" si="108"/>
        <v>4558.9175865632724</v>
      </c>
      <c r="G899" s="26">
        <f t="shared" ca="1" si="109"/>
        <v>4562.1787762035283</v>
      </c>
      <c r="H899" t="str">
        <f t="shared" ca="1" si="110"/>
        <v>Static</v>
      </c>
      <c r="I899" s="26">
        <f t="shared" ca="1" si="111"/>
        <v>-3.2611896402559069</v>
      </c>
    </row>
    <row r="900" spans="1:9" x14ac:dyDescent="0.2">
      <c r="A900">
        <v>897</v>
      </c>
      <c r="B900" s="30">
        <f t="shared" ref="B900:B963" ca="1" si="112">RAND()</f>
        <v>0.67515765242778525</v>
      </c>
      <c r="C900" t="b">
        <f t="shared" ref="C900:C963" ca="1" si="113">B900&lt;ProbSC</f>
        <v>0</v>
      </c>
      <c r="D900">
        <f t="shared" ref="D900:D963" ca="1" si="114">ReactMin+INT(RAND()*(ReactMax-ReactMin+1))</f>
        <v>29</v>
      </c>
      <c r="E900">
        <f t="shared" ref="E900:E963" ca="1" si="115">IF(C900,D900,MustLap)</f>
        <v>30</v>
      </c>
      <c r="F900" s="26">
        <f t="shared" ref="F900:F963" ca="1" si="116">BaseLap*Laps+Deg*(PlanLap*(PlanLap-1)/2+(Laps-PlanLap)*(Laps-PlanLap-1)/2)+PitGreen+NORMINV(RAND(),0,NoiseSD)</f>
        <v>4559.5098303559216</v>
      </c>
      <c r="G900" s="26">
        <f t="shared" ref="G900:G963" ca="1" si="117">BaseLap*Laps+Deg*(E900*(E900-1)/2+(Laps-E900)*(Laps-E900-1)/2)+IF(C900,PitSC,PitGreen)+NORMINV(RAND(),0,NoiseSD)</f>
        <v>4559.4539360448262</v>
      </c>
      <c r="H900" t="str">
        <f t="shared" ref="H900:H963" ca="1" si="118">IF(F900&lt;G900,"Static","Reactive")</f>
        <v>Reactive</v>
      </c>
      <c r="I900" s="26">
        <f t="shared" ref="I900:I963" ca="1" si="119">F900-G900</f>
        <v>5.5894311095471494E-2</v>
      </c>
    </row>
    <row r="901" spans="1:9" x14ac:dyDescent="0.2">
      <c r="A901">
        <v>898</v>
      </c>
      <c r="B901" s="30">
        <f t="shared" ca="1" si="112"/>
        <v>0.71475891079113674</v>
      </c>
      <c r="C901" t="b">
        <f t="shared" ca="1" si="113"/>
        <v>0</v>
      </c>
      <c r="D901">
        <f t="shared" ca="1" si="114"/>
        <v>29</v>
      </c>
      <c r="E901">
        <f t="shared" ca="1" si="115"/>
        <v>30</v>
      </c>
      <c r="F901" s="26">
        <f t="shared" ca="1" si="116"/>
        <v>4559.3675424243174</v>
      </c>
      <c r="G901" s="26">
        <f t="shared" ca="1" si="117"/>
        <v>4560.4204483720305</v>
      </c>
      <c r="H901" t="str">
        <f t="shared" ca="1" si="118"/>
        <v>Static</v>
      </c>
      <c r="I901" s="26">
        <f t="shared" ca="1" si="119"/>
        <v>-1.0529059477130431</v>
      </c>
    </row>
    <row r="902" spans="1:9" x14ac:dyDescent="0.2">
      <c r="A902">
        <v>899</v>
      </c>
      <c r="B902" s="30">
        <f t="shared" ca="1" si="112"/>
        <v>0.87783067642047519</v>
      </c>
      <c r="C902" t="b">
        <f t="shared" ca="1" si="113"/>
        <v>0</v>
      </c>
      <c r="D902">
        <f t="shared" ca="1" si="114"/>
        <v>30</v>
      </c>
      <c r="E902">
        <f t="shared" ca="1" si="115"/>
        <v>30</v>
      </c>
      <c r="F902" s="26">
        <f t="shared" ca="1" si="116"/>
        <v>4558.1560751443994</v>
      </c>
      <c r="G902" s="26">
        <f t="shared" ca="1" si="117"/>
        <v>4562.2700318891784</v>
      </c>
      <c r="H902" t="str">
        <f t="shared" ca="1" si="118"/>
        <v>Static</v>
      </c>
      <c r="I902" s="26">
        <f t="shared" ca="1" si="119"/>
        <v>-4.1139567447789887</v>
      </c>
    </row>
    <row r="903" spans="1:9" x14ac:dyDescent="0.2">
      <c r="A903">
        <v>900</v>
      </c>
      <c r="B903" s="30">
        <f t="shared" ca="1" si="112"/>
        <v>0.61197733661142084</v>
      </c>
      <c r="C903" t="b">
        <f t="shared" ca="1" si="113"/>
        <v>0</v>
      </c>
      <c r="D903">
        <f t="shared" ca="1" si="114"/>
        <v>28</v>
      </c>
      <c r="E903">
        <f t="shared" ca="1" si="115"/>
        <v>30</v>
      </c>
      <c r="F903" s="26">
        <f t="shared" ca="1" si="116"/>
        <v>4559.6073586886769</v>
      </c>
      <c r="G903" s="26">
        <f t="shared" ca="1" si="117"/>
        <v>4561.2975322571301</v>
      </c>
      <c r="H903" t="str">
        <f t="shared" ca="1" si="118"/>
        <v>Static</v>
      </c>
      <c r="I903" s="26">
        <f t="shared" ca="1" si="119"/>
        <v>-1.6901735684532468</v>
      </c>
    </row>
    <row r="904" spans="1:9" x14ac:dyDescent="0.2">
      <c r="A904">
        <v>901</v>
      </c>
      <c r="B904" s="30">
        <f t="shared" ca="1" si="112"/>
        <v>0.8861843581406198</v>
      </c>
      <c r="C904" t="b">
        <f t="shared" ca="1" si="113"/>
        <v>0</v>
      </c>
      <c r="D904">
        <f t="shared" ca="1" si="114"/>
        <v>29</v>
      </c>
      <c r="E904">
        <f t="shared" ca="1" si="115"/>
        <v>30</v>
      </c>
      <c r="F904" s="26">
        <f t="shared" ca="1" si="116"/>
        <v>4558.2859248485038</v>
      </c>
      <c r="G904" s="26">
        <f t="shared" ca="1" si="117"/>
        <v>4559.6414760953685</v>
      </c>
      <c r="H904" t="str">
        <f t="shared" ca="1" si="118"/>
        <v>Static</v>
      </c>
      <c r="I904" s="26">
        <f t="shared" ca="1" si="119"/>
        <v>-1.3555512468647066</v>
      </c>
    </row>
    <row r="905" spans="1:9" x14ac:dyDescent="0.2">
      <c r="A905">
        <v>902</v>
      </c>
      <c r="B905" s="30">
        <f t="shared" ca="1" si="112"/>
        <v>0.91441719789087339</v>
      </c>
      <c r="C905" t="b">
        <f t="shared" ca="1" si="113"/>
        <v>0</v>
      </c>
      <c r="D905">
        <f t="shared" ca="1" si="114"/>
        <v>28</v>
      </c>
      <c r="E905">
        <f t="shared" ca="1" si="115"/>
        <v>30</v>
      </c>
      <c r="F905" s="26">
        <f t="shared" ca="1" si="116"/>
        <v>4556.8922886735209</v>
      </c>
      <c r="G905" s="26">
        <f t="shared" ca="1" si="117"/>
        <v>4560.5845362518157</v>
      </c>
      <c r="H905" t="str">
        <f t="shared" ca="1" si="118"/>
        <v>Static</v>
      </c>
      <c r="I905" s="26">
        <f t="shared" ca="1" si="119"/>
        <v>-3.6922475782948823</v>
      </c>
    </row>
    <row r="906" spans="1:9" x14ac:dyDescent="0.2">
      <c r="A906">
        <v>903</v>
      </c>
      <c r="B906" s="30">
        <f t="shared" ca="1" si="112"/>
        <v>0.65755970092076388</v>
      </c>
      <c r="C906" t="b">
        <f t="shared" ca="1" si="113"/>
        <v>0</v>
      </c>
      <c r="D906">
        <f t="shared" ca="1" si="114"/>
        <v>28</v>
      </c>
      <c r="E906">
        <f t="shared" ca="1" si="115"/>
        <v>30</v>
      </c>
      <c r="F906" s="26">
        <f t="shared" ca="1" si="116"/>
        <v>4559.7367781332123</v>
      </c>
      <c r="G906" s="26">
        <f t="shared" ca="1" si="117"/>
        <v>4559.7888620207859</v>
      </c>
      <c r="H906" t="str">
        <f t="shared" ca="1" si="118"/>
        <v>Static</v>
      </c>
      <c r="I906" s="26">
        <f t="shared" ca="1" si="119"/>
        <v>-5.2083887573644461E-2</v>
      </c>
    </row>
    <row r="907" spans="1:9" x14ac:dyDescent="0.2">
      <c r="A907">
        <v>904</v>
      </c>
      <c r="B907" s="30">
        <f t="shared" ca="1" si="112"/>
        <v>0.17335120370475532</v>
      </c>
      <c r="C907" t="b">
        <f t="shared" ca="1" si="113"/>
        <v>1</v>
      </c>
      <c r="D907">
        <f t="shared" ca="1" si="114"/>
        <v>28</v>
      </c>
      <c r="E907">
        <f t="shared" ca="1" si="115"/>
        <v>28</v>
      </c>
      <c r="F907" s="26">
        <f t="shared" ca="1" si="116"/>
        <v>4557.9726411052188</v>
      </c>
      <c r="G907" s="26">
        <f t="shared" ca="1" si="117"/>
        <v>4542.2461781830516</v>
      </c>
      <c r="H907" t="str">
        <f t="shared" ca="1" si="118"/>
        <v>Reactive</v>
      </c>
      <c r="I907" s="26">
        <f t="shared" ca="1" si="119"/>
        <v>15.726462922167229</v>
      </c>
    </row>
    <row r="908" spans="1:9" x14ac:dyDescent="0.2">
      <c r="A908">
        <v>905</v>
      </c>
      <c r="B908" s="30">
        <f t="shared" ca="1" si="112"/>
        <v>0.21702522307036765</v>
      </c>
      <c r="C908" t="b">
        <f t="shared" ca="1" si="113"/>
        <v>1</v>
      </c>
      <c r="D908">
        <f t="shared" ca="1" si="114"/>
        <v>27</v>
      </c>
      <c r="E908">
        <f t="shared" ca="1" si="115"/>
        <v>27</v>
      </c>
      <c r="F908" s="26">
        <f t="shared" ca="1" si="116"/>
        <v>4560.1851151104156</v>
      </c>
      <c r="G908" s="26">
        <f t="shared" ca="1" si="117"/>
        <v>4542.4227885335022</v>
      </c>
      <c r="H908" t="str">
        <f t="shared" ca="1" si="118"/>
        <v>Reactive</v>
      </c>
      <c r="I908" s="26">
        <f t="shared" ca="1" si="119"/>
        <v>17.762326576913438</v>
      </c>
    </row>
    <row r="909" spans="1:9" x14ac:dyDescent="0.2">
      <c r="A909">
        <v>906</v>
      </c>
      <c r="B909" s="30">
        <f t="shared" ca="1" si="112"/>
        <v>0.238568329224908</v>
      </c>
      <c r="C909" t="b">
        <f t="shared" ca="1" si="113"/>
        <v>1</v>
      </c>
      <c r="D909">
        <f t="shared" ca="1" si="114"/>
        <v>29</v>
      </c>
      <c r="E909">
        <f t="shared" ca="1" si="115"/>
        <v>29</v>
      </c>
      <c r="F909" s="26">
        <f t="shared" ca="1" si="116"/>
        <v>4557.9940094901076</v>
      </c>
      <c r="G909" s="26">
        <f t="shared" ca="1" si="117"/>
        <v>4543.9979505046877</v>
      </c>
      <c r="H909" t="str">
        <f t="shared" ca="1" si="118"/>
        <v>Reactive</v>
      </c>
      <c r="I909" s="26">
        <f t="shared" ca="1" si="119"/>
        <v>13.99605898541995</v>
      </c>
    </row>
    <row r="910" spans="1:9" x14ac:dyDescent="0.2">
      <c r="A910">
        <v>907</v>
      </c>
      <c r="B910" s="30">
        <f t="shared" ca="1" si="112"/>
        <v>0.42485722452622798</v>
      </c>
      <c r="C910" t="b">
        <f t="shared" ca="1" si="113"/>
        <v>0</v>
      </c>
      <c r="D910">
        <f t="shared" ca="1" si="114"/>
        <v>26</v>
      </c>
      <c r="E910">
        <f t="shared" ca="1" si="115"/>
        <v>30</v>
      </c>
      <c r="F910" s="26">
        <f t="shared" ca="1" si="116"/>
        <v>4560.3677978709256</v>
      </c>
      <c r="G910" s="26">
        <f t="shared" ca="1" si="117"/>
        <v>4560.8451133237186</v>
      </c>
      <c r="H910" t="str">
        <f t="shared" ca="1" si="118"/>
        <v>Static</v>
      </c>
      <c r="I910" s="26">
        <f t="shared" ca="1" si="119"/>
        <v>-0.47731545279293641</v>
      </c>
    </row>
    <row r="911" spans="1:9" x14ac:dyDescent="0.2">
      <c r="A911">
        <v>908</v>
      </c>
      <c r="B911" s="30">
        <f t="shared" ca="1" si="112"/>
        <v>0.98261436406364389</v>
      </c>
      <c r="C911" t="b">
        <f t="shared" ca="1" si="113"/>
        <v>0</v>
      </c>
      <c r="D911">
        <f t="shared" ca="1" si="114"/>
        <v>28</v>
      </c>
      <c r="E911">
        <f t="shared" ca="1" si="115"/>
        <v>30</v>
      </c>
      <c r="F911" s="26">
        <f t="shared" ca="1" si="116"/>
        <v>4557.2042815962059</v>
      </c>
      <c r="G911" s="26">
        <f t="shared" ca="1" si="117"/>
        <v>4560.3226941039029</v>
      </c>
      <c r="H911" t="str">
        <f t="shared" ca="1" si="118"/>
        <v>Static</v>
      </c>
      <c r="I911" s="26">
        <f t="shared" ca="1" si="119"/>
        <v>-3.1184125076970304</v>
      </c>
    </row>
    <row r="912" spans="1:9" x14ac:dyDescent="0.2">
      <c r="A912">
        <v>909</v>
      </c>
      <c r="B912" s="30">
        <f t="shared" ca="1" si="112"/>
        <v>0.26230075443878043</v>
      </c>
      <c r="C912" t="b">
        <f t="shared" ca="1" si="113"/>
        <v>1</v>
      </c>
      <c r="D912">
        <f t="shared" ca="1" si="114"/>
        <v>30</v>
      </c>
      <c r="E912">
        <f t="shared" ca="1" si="115"/>
        <v>30</v>
      </c>
      <c r="F912" s="26">
        <f t="shared" ca="1" si="116"/>
        <v>4558.2062896661573</v>
      </c>
      <c r="G912" s="26">
        <f t="shared" ca="1" si="117"/>
        <v>4545.2138233750438</v>
      </c>
      <c r="H912" t="str">
        <f t="shared" ca="1" si="118"/>
        <v>Reactive</v>
      </c>
      <c r="I912" s="26">
        <f t="shared" ca="1" si="119"/>
        <v>12.992466291113487</v>
      </c>
    </row>
    <row r="913" spans="1:9" x14ac:dyDescent="0.2">
      <c r="A913">
        <v>910</v>
      </c>
      <c r="B913" s="30">
        <f t="shared" ca="1" si="112"/>
        <v>0.41851967032335324</v>
      </c>
      <c r="C913" t="b">
        <f t="shared" ca="1" si="113"/>
        <v>0</v>
      </c>
      <c r="D913">
        <f t="shared" ca="1" si="114"/>
        <v>29</v>
      </c>
      <c r="E913">
        <f t="shared" ca="1" si="115"/>
        <v>30</v>
      </c>
      <c r="F913" s="26">
        <f t="shared" ca="1" si="116"/>
        <v>4557.9198144996381</v>
      </c>
      <c r="G913" s="26">
        <f t="shared" ca="1" si="117"/>
        <v>4561.9379633266371</v>
      </c>
      <c r="H913" t="str">
        <f t="shared" ca="1" si="118"/>
        <v>Static</v>
      </c>
      <c r="I913" s="26">
        <f t="shared" ca="1" si="119"/>
        <v>-4.018148826999095</v>
      </c>
    </row>
    <row r="914" spans="1:9" x14ac:dyDescent="0.2">
      <c r="A914">
        <v>911</v>
      </c>
      <c r="B914" s="30">
        <f t="shared" ca="1" si="112"/>
        <v>0.37065474049774194</v>
      </c>
      <c r="C914" t="b">
        <f t="shared" ca="1" si="113"/>
        <v>0</v>
      </c>
      <c r="D914">
        <f t="shared" ca="1" si="114"/>
        <v>28</v>
      </c>
      <c r="E914">
        <f t="shared" ca="1" si="115"/>
        <v>30</v>
      </c>
      <c r="F914" s="26">
        <f t="shared" ca="1" si="116"/>
        <v>4559.2344012311323</v>
      </c>
      <c r="G914" s="26">
        <f t="shared" ca="1" si="117"/>
        <v>4562.9107666153259</v>
      </c>
      <c r="H914" t="str">
        <f t="shared" ca="1" si="118"/>
        <v>Static</v>
      </c>
      <c r="I914" s="26">
        <f t="shared" ca="1" si="119"/>
        <v>-3.6763653841935593</v>
      </c>
    </row>
    <row r="915" spans="1:9" x14ac:dyDescent="0.2">
      <c r="A915">
        <v>912</v>
      </c>
      <c r="B915" s="30">
        <f t="shared" ca="1" si="112"/>
        <v>0.51752047551798708</v>
      </c>
      <c r="C915" t="b">
        <f t="shared" ca="1" si="113"/>
        <v>0</v>
      </c>
      <c r="D915">
        <f t="shared" ca="1" si="114"/>
        <v>29</v>
      </c>
      <c r="E915">
        <f t="shared" ca="1" si="115"/>
        <v>30</v>
      </c>
      <c r="F915" s="26">
        <f t="shared" ca="1" si="116"/>
        <v>4557.567796530916</v>
      </c>
      <c r="G915" s="26">
        <f t="shared" ca="1" si="117"/>
        <v>4560.178877464884</v>
      </c>
      <c r="H915" t="str">
        <f t="shared" ca="1" si="118"/>
        <v>Static</v>
      </c>
      <c r="I915" s="26">
        <f t="shared" ca="1" si="119"/>
        <v>-2.611080933967969</v>
      </c>
    </row>
    <row r="916" spans="1:9" x14ac:dyDescent="0.2">
      <c r="A916">
        <v>913</v>
      </c>
      <c r="B916" s="30">
        <f t="shared" ca="1" si="112"/>
        <v>0.14625191701041351</v>
      </c>
      <c r="C916" t="b">
        <f t="shared" ca="1" si="113"/>
        <v>1</v>
      </c>
      <c r="D916">
        <f t="shared" ca="1" si="114"/>
        <v>26</v>
      </c>
      <c r="E916">
        <f t="shared" ca="1" si="115"/>
        <v>26</v>
      </c>
      <c r="F916" s="26">
        <f t="shared" ca="1" si="116"/>
        <v>4559.6636541759799</v>
      </c>
      <c r="G916" s="26">
        <f t="shared" ca="1" si="117"/>
        <v>4541.7564289633683</v>
      </c>
      <c r="H916" t="str">
        <f t="shared" ca="1" si="118"/>
        <v>Reactive</v>
      </c>
      <c r="I916" s="26">
        <f t="shared" ca="1" si="119"/>
        <v>17.907225212611593</v>
      </c>
    </row>
    <row r="917" spans="1:9" x14ac:dyDescent="0.2">
      <c r="A917">
        <v>914</v>
      </c>
      <c r="B917" s="30">
        <f t="shared" ca="1" si="112"/>
        <v>0.75060401923887077</v>
      </c>
      <c r="C917" t="b">
        <f t="shared" ca="1" si="113"/>
        <v>0</v>
      </c>
      <c r="D917">
        <f t="shared" ca="1" si="114"/>
        <v>30</v>
      </c>
      <c r="E917">
        <f t="shared" ca="1" si="115"/>
        <v>30</v>
      </c>
      <c r="F917" s="26">
        <f t="shared" ca="1" si="116"/>
        <v>4559.0210630464162</v>
      </c>
      <c r="G917" s="26">
        <f t="shared" ca="1" si="117"/>
        <v>4560.7955359735843</v>
      </c>
      <c r="H917" t="str">
        <f t="shared" ca="1" si="118"/>
        <v>Static</v>
      </c>
      <c r="I917" s="26">
        <f t="shared" ca="1" si="119"/>
        <v>-1.7744729271680626</v>
      </c>
    </row>
    <row r="918" spans="1:9" x14ac:dyDescent="0.2">
      <c r="A918">
        <v>915</v>
      </c>
      <c r="B918" s="30">
        <f t="shared" ca="1" si="112"/>
        <v>0.76392334118554817</v>
      </c>
      <c r="C918" t="b">
        <f t="shared" ca="1" si="113"/>
        <v>0</v>
      </c>
      <c r="D918">
        <f t="shared" ca="1" si="114"/>
        <v>27</v>
      </c>
      <c r="E918">
        <f t="shared" ca="1" si="115"/>
        <v>30</v>
      </c>
      <c r="F918" s="26">
        <f t="shared" ca="1" si="116"/>
        <v>4560.5545496287623</v>
      </c>
      <c r="G918" s="26">
        <f t="shared" ca="1" si="117"/>
        <v>4561.8592498825101</v>
      </c>
      <c r="H918" t="str">
        <f t="shared" ca="1" si="118"/>
        <v>Static</v>
      </c>
      <c r="I918" s="26">
        <f t="shared" ca="1" si="119"/>
        <v>-1.3047002537477965</v>
      </c>
    </row>
    <row r="919" spans="1:9" x14ac:dyDescent="0.2">
      <c r="A919">
        <v>916</v>
      </c>
      <c r="B919" s="30">
        <f t="shared" ca="1" si="112"/>
        <v>0.77929546306802244</v>
      </c>
      <c r="C919" t="b">
        <f t="shared" ca="1" si="113"/>
        <v>0</v>
      </c>
      <c r="D919">
        <f t="shared" ca="1" si="114"/>
        <v>29</v>
      </c>
      <c r="E919">
        <f t="shared" ca="1" si="115"/>
        <v>30</v>
      </c>
      <c r="F919" s="26">
        <f t="shared" ca="1" si="116"/>
        <v>4558.7945767485571</v>
      </c>
      <c r="G919" s="26">
        <f t="shared" ca="1" si="117"/>
        <v>4561.2323877442168</v>
      </c>
      <c r="H919" t="str">
        <f t="shared" ca="1" si="118"/>
        <v>Static</v>
      </c>
      <c r="I919" s="26">
        <f t="shared" ca="1" si="119"/>
        <v>-2.4378109956596745</v>
      </c>
    </row>
    <row r="920" spans="1:9" x14ac:dyDescent="0.2">
      <c r="A920">
        <v>917</v>
      </c>
      <c r="B920" s="30">
        <f t="shared" ca="1" si="112"/>
        <v>0.15173737601970705</v>
      </c>
      <c r="C920" t="b">
        <f t="shared" ca="1" si="113"/>
        <v>1</v>
      </c>
      <c r="D920">
        <f t="shared" ca="1" si="114"/>
        <v>30</v>
      </c>
      <c r="E920">
        <f t="shared" ca="1" si="115"/>
        <v>30</v>
      </c>
      <c r="F920" s="26">
        <f t="shared" ca="1" si="116"/>
        <v>4559.5941132593871</v>
      </c>
      <c r="G920" s="26">
        <f t="shared" ca="1" si="117"/>
        <v>4543.8964320115892</v>
      </c>
      <c r="H920" t="str">
        <f t="shared" ca="1" si="118"/>
        <v>Reactive</v>
      </c>
      <c r="I920" s="26">
        <f t="shared" ca="1" si="119"/>
        <v>15.697681247797846</v>
      </c>
    </row>
    <row r="921" spans="1:9" x14ac:dyDescent="0.2">
      <c r="A921">
        <v>918</v>
      </c>
      <c r="B921" s="30">
        <f t="shared" ca="1" si="112"/>
        <v>0.345193549493645</v>
      </c>
      <c r="C921" t="b">
        <f t="shared" ca="1" si="113"/>
        <v>1</v>
      </c>
      <c r="D921">
        <f t="shared" ca="1" si="114"/>
        <v>28</v>
      </c>
      <c r="E921">
        <f t="shared" ca="1" si="115"/>
        <v>28</v>
      </c>
      <c r="F921" s="26">
        <f t="shared" ca="1" si="116"/>
        <v>4557.8982901543277</v>
      </c>
      <c r="G921" s="26">
        <f t="shared" ca="1" si="117"/>
        <v>4541.0569089119954</v>
      </c>
      <c r="H921" t="str">
        <f t="shared" ca="1" si="118"/>
        <v>Reactive</v>
      </c>
      <c r="I921" s="26">
        <f t="shared" ca="1" si="119"/>
        <v>16.841381242332318</v>
      </c>
    </row>
    <row r="922" spans="1:9" x14ac:dyDescent="0.2">
      <c r="A922">
        <v>919</v>
      </c>
      <c r="B922" s="30">
        <f t="shared" ca="1" si="112"/>
        <v>0.24127606247412314</v>
      </c>
      <c r="C922" t="b">
        <f t="shared" ca="1" si="113"/>
        <v>1</v>
      </c>
      <c r="D922">
        <f t="shared" ca="1" si="114"/>
        <v>29</v>
      </c>
      <c r="E922">
        <f t="shared" ca="1" si="115"/>
        <v>29</v>
      </c>
      <c r="F922" s="26">
        <f t="shared" ca="1" si="116"/>
        <v>4557.955592775199</v>
      </c>
      <c r="G922" s="26">
        <f t="shared" ca="1" si="117"/>
        <v>4542.9176152311293</v>
      </c>
      <c r="H922" t="str">
        <f t="shared" ca="1" si="118"/>
        <v>Reactive</v>
      </c>
      <c r="I922" s="26">
        <f t="shared" ca="1" si="119"/>
        <v>15.03797754406969</v>
      </c>
    </row>
    <row r="923" spans="1:9" x14ac:dyDescent="0.2">
      <c r="A923">
        <v>920</v>
      </c>
      <c r="B923" s="30">
        <f t="shared" ca="1" si="112"/>
        <v>0.31913061414658239</v>
      </c>
      <c r="C923" t="b">
        <f t="shared" ca="1" si="113"/>
        <v>1</v>
      </c>
      <c r="D923">
        <f t="shared" ca="1" si="114"/>
        <v>26</v>
      </c>
      <c r="E923">
        <f t="shared" ca="1" si="115"/>
        <v>26</v>
      </c>
      <c r="F923" s="26">
        <f t="shared" ca="1" si="116"/>
        <v>4559.3235096919116</v>
      </c>
      <c r="G923" s="26">
        <f t="shared" ca="1" si="117"/>
        <v>4543.9416986920869</v>
      </c>
      <c r="H923" t="str">
        <f t="shared" ca="1" si="118"/>
        <v>Reactive</v>
      </c>
      <c r="I923" s="26">
        <f t="shared" ca="1" si="119"/>
        <v>15.381810999824665</v>
      </c>
    </row>
    <row r="924" spans="1:9" x14ac:dyDescent="0.2">
      <c r="A924">
        <v>921</v>
      </c>
      <c r="B924" s="30">
        <f t="shared" ca="1" si="112"/>
        <v>0.78203883151445286</v>
      </c>
      <c r="C924" t="b">
        <f t="shared" ca="1" si="113"/>
        <v>0</v>
      </c>
      <c r="D924">
        <f t="shared" ca="1" si="114"/>
        <v>26</v>
      </c>
      <c r="E924">
        <f t="shared" ca="1" si="115"/>
        <v>30</v>
      </c>
      <c r="F924" s="26">
        <f t="shared" ca="1" si="116"/>
        <v>4559.8126293104369</v>
      </c>
      <c r="G924" s="26">
        <f t="shared" ca="1" si="117"/>
        <v>4561.3619176122475</v>
      </c>
      <c r="H924" t="str">
        <f t="shared" ca="1" si="118"/>
        <v>Static</v>
      </c>
      <c r="I924" s="26">
        <f t="shared" ca="1" si="119"/>
        <v>-1.5492883018105204</v>
      </c>
    </row>
    <row r="925" spans="1:9" x14ac:dyDescent="0.2">
      <c r="A925">
        <v>922</v>
      </c>
      <c r="B925" s="30">
        <f t="shared" ca="1" si="112"/>
        <v>0.18321075421119559</v>
      </c>
      <c r="C925" t="b">
        <f t="shared" ca="1" si="113"/>
        <v>1</v>
      </c>
      <c r="D925">
        <f t="shared" ca="1" si="114"/>
        <v>30</v>
      </c>
      <c r="E925">
        <f t="shared" ca="1" si="115"/>
        <v>30</v>
      </c>
      <c r="F925" s="26">
        <f t="shared" ca="1" si="116"/>
        <v>4559.1992491972796</v>
      </c>
      <c r="G925" s="26">
        <f t="shared" ca="1" si="117"/>
        <v>4543.0619277621481</v>
      </c>
      <c r="H925" t="str">
        <f t="shared" ca="1" si="118"/>
        <v>Reactive</v>
      </c>
      <c r="I925" s="26">
        <f t="shared" ca="1" si="119"/>
        <v>16.137321435131526</v>
      </c>
    </row>
    <row r="926" spans="1:9" x14ac:dyDescent="0.2">
      <c r="A926">
        <v>923</v>
      </c>
      <c r="B926" s="30">
        <f t="shared" ca="1" si="112"/>
        <v>0.20473968102802242</v>
      </c>
      <c r="C926" t="b">
        <f t="shared" ca="1" si="113"/>
        <v>1</v>
      </c>
      <c r="D926">
        <f t="shared" ca="1" si="114"/>
        <v>26</v>
      </c>
      <c r="E926">
        <f t="shared" ca="1" si="115"/>
        <v>26</v>
      </c>
      <c r="F926" s="26">
        <f t="shared" ca="1" si="116"/>
        <v>4561.1377462483342</v>
      </c>
      <c r="G926" s="26">
        <f t="shared" ca="1" si="117"/>
        <v>4542.6232780807404</v>
      </c>
      <c r="H926" t="str">
        <f t="shared" ca="1" si="118"/>
        <v>Reactive</v>
      </c>
      <c r="I926" s="26">
        <f t="shared" ca="1" si="119"/>
        <v>18.514468167593805</v>
      </c>
    </row>
    <row r="927" spans="1:9" x14ac:dyDescent="0.2">
      <c r="A927">
        <v>924</v>
      </c>
      <c r="B927" s="30">
        <f t="shared" ca="1" si="112"/>
        <v>0.85101073754398893</v>
      </c>
      <c r="C927" t="b">
        <f t="shared" ca="1" si="113"/>
        <v>0</v>
      </c>
      <c r="D927">
        <f t="shared" ca="1" si="114"/>
        <v>27</v>
      </c>
      <c r="E927">
        <f t="shared" ca="1" si="115"/>
        <v>30</v>
      </c>
      <c r="F927" s="26">
        <f t="shared" ca="1" si="116"/>
        <v>4559.3897077676802</v>
      </c>
      <c r="G927" s="26">
        <f t="shared" ca="1" si="117"/>
        <v>4560.6400642066574</v>
      </c>
      <c r="H927" t="str">
        <f t="shared" ca="1" si="118"/>
        <v>Static</v>
      </c>
      <c r="I927" s="26">
        <f t="shared" ca="1" si="119"/>
        <v>-1.2503564389771782</v>
      </c>
    </row>
    <row r="928" spans="1:9" x14ac:dyDescent="0.2">
      <c r="A928">
        <v>925</v>
      </c>
      <c r="B928" s="30">
        <f t="shared" ca="1" si="112"/>
        <v>0.7412899858240406</v>
      </c>
      <c r="C928" t="b">
        <f t="shared" ca="1" si="113"/>
        <v>0</v>
      </c>
      <c r="D928">
        <f t="shared" ca="1" si="114"/>
        <v>27</v>
      </c>
      <c r="E928">
        <f t="shared" ca="1" si="115"/>
        <v>30</v>
      </c>
      <c r="F928" s="26">
        <f t="shared" ca="1" si="116"/>
        <v>4560.5318814550419</v>
      </c>
      <c r="G928" s="26">
        <f t="shared" ca="1" si="117"/>
        <v>4562.2423681061073</v>
      </c>
      <c r="H928" t="str">
        <f t="shared" ca="1" si="118"/>
        <v>Static</v>
      </c>
      <c r="I928" s="26">
        <f t="shared" ca="1" si="119"/>
        <v>-1.7104866510653665</v>
      </c>
    </row>
    <row r="929" spans="1:9" x14ac:dyDescent="0.2">
      <c r="A929">
        <v>926</v>
      </c>
      <c r="B929" s="30">
        <f t="shared" ca="1" si="112"/>
        <v>0.27196222702411044</v>
      </c>
      <c r="C929" t="b">
        <f t="shared" ca="1" si="113"/>
        <v>1</v>
      </c>
      <c r="D929">
        <f t="shared" ca="1" si="114"/>
        <v>28</v>
      </c>
      <c r="E929">
        <f t="shared" ca="1" si="115"/>
        <v>28</v>
      </c>
      <c r="F929" s="26">
        <f t="shared" ca="1" si="116"/>
        <v>4557.8215565179717</v>
      </c>
      <c r="G929" s="26">
        <f t="shared" ca="1" si="117"/>
        <v>4544.3181062131625</v>
      </c>
      <c r="H929" t="str">
        <f t="shared" ca="1" si="118"/>
        <v>Reactive</v>
      </c>
      <c r="I929" s="26">
        <f t="shared" ca="1" si="119"/>
        <v>13.503450304809121</v>
      </c>
    </row>
    <row r="930" spans="1:9" x14ac:dyDescent="0.2">
      <c r="A930">
        <v>927</v>
      </c>
      <c r="B930" s="30">
        <f t="shared" ca="1" si="112"/>
        <v>0.32736317548250882</v>
      </c>
      <c r="C930" t="b">
        <f t="shared" ca="1" si="113"/>
        <v>1</v>
      </c>
      <c r="D930">
        <f t="shared" ca="1" si="114"/>
        <v>29</v>
      </c>
      <c r="E930">
        <f t="shared" ca="1" si="115"/>
        <v>29</v>
      </c>
      <c r="F930" s="26">
        <f t="shared" ca="1" si="116"/>
        <v>4559.2759408162337</v>
      </c>
      <c r="G930" s="26">
        <f t="shared" ca="1" si="117"/>
        <v>4542.516978040785</v>
      </c>
      <c r="H930" t="str">
        <f t="shared" ca="1" si="118"/>
        <v>Reactive</v>
      </c>
      <c r="I930" s="26">
        <f t="shared" ca="1" si="119"/>
        <v>16.758962775448708</v>
      </c>
    </row>
    <row r="931" spans="1:9" x14ac:dyDescent="0.2">
      <c r="A931">
        <v>928</v>
      </c>
      <c r="B931" s="30">
        <f t="shared" ca="1" si="112"/>
        <v>0.6318185091243913</v>
      </c>
      <c r="C931" t="b">
        <f t="shared" ca="1" si="113"/>
        <v>0</v>
      </c>
      <c r="D931">
        <f t="shared" ca="1" si="114"/>
        <v>26</v>
      </c>
      <c r="E931">
        <f t="shared" ca="1" si="115"/>
        <v>30</v>
      </c>
      <c r="F931" s="26">
        <f t="shared" ca="1" si="116"/>
        <v>4557.8431054552484</v>
      </c>
      <c r="G931" s="26">
        <f t="shared" ca="1" si="117"/>
        <v>4558.6899378472917</v>
      </c>
      <c r="H931" t="str">
        <f t="shared" ca="1" si="118"/>
        <v>Static</v>
      </c>
      <c r="I931" s="26">
        <f t="shared" ca="1" si="119"/>
        <v>-0.84683239204332494</v>
      </c>
    </row>
    <row r="932" spans="1:9" x14ac:dyDescent="0.2">
      <c r="A932">
        <v>929</v>
      </c>
      <c r="B932" s="30">
        <f t="shared" ca="1" si="112"/>
        <v>0.38069090746913892</v>
      </c>
      <c r="C932" t="b">
        <f t="shared" ca="1" si="113"/>
        <v>0</v>
      </c>
      <c r="D932">
        <f t="shared" ca="1" si="114"/>
        <v>29</v>
      </c>
      <c r="E932">
        <f t="shared" ca="1" si="115"/>
        <v>30</v>
      </c>
      <c r="F932" s="26">
        <f t="shared" ca="1" si="116"/>
        <v>4558.638043974991</v>
      </c>
      <c r="G932" s="26">
        <f t="shared" ca="1" si="117"/>
        <v>4560.7787331946502</v>
      </c>
      <c r="H932" t="str">
        <f t="shared" ca="1" si="118"/>
        <v>Static</v>
      </c>
      <c r="I932" s="26">
        <f t="shared" ca="1" si="119"/>
        <v>-2.1406892196591798</v>
      </c>
    </row>
    <row r="933" spans="1:9" x14ac:dyDescent="0.2">
      <c r="A933">
        <v>930</v>
      </c>
      <c r="B933" s="30">
        <f t="shared" ca="1" si="112"/>
        <v>0.27895819450787307</v>
      </c>
      <c r="C933" t="b">
        <f t="shared" ca="1" si="113"/>
        <v>1</v>
      </c>
      <c r="D933">
        <f t="shared" ca="1" si="114"/>
        <v>28</v>
      </c>
      <c r="E933">
        <f t="shared" ca="1" si="115"/>
        <v>28</v>
      </c>
      <c r="F933" s="26">
        <f t="shared" ca="1" si="116"/>
        <v>4559.7158142446688</v>
      </c>
      <c r="G933" s="26">
        <f t="shared" ca="1" si="117"/>
        <v>4542.5770424559632</v>
      </c>
      <c r="H933" t="str">
        <f t="shared" ca="1" si="118"/>
        <v>Reactive</v>
      </c>
      <c r="I933" s="26">
        <f t="shared" ca="1" si="119"/>
        <v>17.138771788705526</v>
      </c>
    </row>
    <row r="934" spans="1:9" x14ac:dyDescent="0.2">
      <c r="A934">
        <v>931</v>
      </c>
      <c r="B934" s="30">
        <f t="shared" ca="1" si="112"/>
        <v>0.80802099288306939</v>
      </c>
      <c r="C934" t="b">
        <f t="shared" ca="1" si="113"/>
        <v>0</v>
      </c>
      <c r="D934">
        <f t="shared" ca="1" si="114"/>
        <v>28</v>
      </c>
      <c r="E934">
        <f t="shared" ca="1" si="115"/>
        <v>30</v>
      </c>
      <c r="F934" s="26">
        <f t="shared" ca="1" si="116"/>
        <v>4559.9324121573654</v>
      </c>
      <c r="G934" s="26">
        <f t="shared" ca="1" si="117"/>
        <v>4560.5184689470643</v>
      </c>
      <c r="H934" t="str">
        <f t="shared" ca="1" si="118"/>
        <v>Static</v>
      </c>
      <c r="I934" s="26">
        <f t="shared" ca="1" si="119"/>
        <v>-0.58605678969888686</v>
      </c>
    </row>
    <row r="935" spans="1:9" x14ac:dyDescent="0.2">
      <c r="A935">
        <v>932</v>
      </c>
      <c r="B935" s="30">
        <f t="shared" ca="1" si="112"/>
        <v>0.91574190907216113</v>
      </c>
      <c r="C935" t="b">
        <f t="shared" ca="1" si="113"/>
        <v>0</v>
      </c>
      <c r="D935">
        <f t="shared" ca="1" si="114"/>
        <v>29</v>
      </c>
      <c r="E935">
        <f t="shared" ca="1" si="115"/>
        <v>30</v>
      </c>
      <c r="F935" s="26">
        <f t="shared" ca="1" si="116"/>
        <v>4558.9662439985541</v>
      </c>
      <c r="G935" s="26">
        <f t="shared" ca="1" si="117"/>
        <v>4560.6812245290475</v>
      </c>
      <c r="H935" t="str">
        <f t="shared" ca="1" si="118"/>
        <v>Static</v>
      </c>
      <c r="I935" s="26">
        <f t="shared" ca="1" si="119"/>
        <v>-1.7149805304934489</v>
      </c>
    </row>
    <row r="936" spans="1:9" x14ac:dyDescent="0.2">
      <c r="A936">
        <v>933</v>
      </c>
      <c r="B936" s="30">
        <f t="shared" ca="1" si="112"/>
        <v>0.39560484800236639</v>
      </c>
      <c r="C936" t="b">
        <f t="shared" ca="1" si="113"/>
        <v>0</v>
      </c>
      <c r="D936">
        <f t="shared" ca="1" si="114"/>
        <v>27</v>
      </c>
      <c r="E936">
        <f t="shared" ca="1" si="115"/>
        <v>30</v>
      </c>
      <c r="F936" s="26">
        <f t="shared" ca="1" si="116"/>
        <v>4558.6584613787081</v>
      </c>
      <c r="G936" s="26">
        <f t="shared" ca="1" si="117"/>
        <v>4559.971086743567</v>
      </c>
      <c r="H936" t="str">
        <f t="shared" ca="1" si="118"/>
        <v>Static</v>
      </c>
      <c r="I936" s="26">
        <f t="shared" ca="1" si="119"/>
        <v>-1.3126253648588317</v>
      </c>
    </row>
    <row r="937" spans="1:9" x14ac:dyDescent="0.2">
      <c r="A937">
        <v>934</v>
      </c>
      <c r="B937" s="30">
        <f t="shared" ca="1" si="112"/>
        <v>0.80248929947772463</v>
      </c>
      <c r="C937" t="b">
        <f t="shared" ca="1" si="113"/>
        <v>0</v>
      </c>
      <c r="D937">
        <f t="shared" ca="1" si="114"/>
        <v>26</v>
      </c>
      <c r="E937">
        <f t="shared" ca="1" si="115"/>
        <v>30</v>
      </c>
      <c r="F937" s="26">
        <f t="shared" ca="1" si="116"/>
        <v>4559.6252707601761</v>
      </c>
      <c r="G937" s="26">
        <f t="shared" ca="1" si="117"/>
        <v>4559.7178341508334</v>
      </c>
      <c r="H937" t="str">
        <f t="shared" ca="1" si="118"/>
        <v>Static</v>
      </c>
      <c r="I937" s="26">
        <f t="shared" ca="1" si="119"/>
        <v>-9.2563390657232958E-2</v>
      </c>
    </row>
    <row r="938" spans="1:9" x14ac:dyDescent="0.2">
      <c r="A938">
        <v>935</v>
      </c>
      <c r="B938" s="30">
        <f t="shared" ca="1" si="112"/>
        <v>0.16558393256216786</v>
      </c>
      <c r="C938" t="b">
        <f t="shared" ca="1" si="113"/>
        <v>1</v>
      </c>
      <c r="D938">
        <f t="shared" ca="1" si="114"/>
        <v>26</v>
      </c>
      <c r="E938">
        <f t="shared" ca="1" si="115"/>
        <v>26</v>
      </c>
      <c r="F938" s="26">
        <f t="shared" ca="1" si="116"/>
        <v>4559.9922645345832</v>
      </c>
      <c r="G938" s="26">
        <f t="shared" ca="1" si="117"/>
        <v>4541.590046603239</v>
      </c>
      <c r="H938" t="str">
        <f t="shared" ca="1" si="118"/>
        <v>Reactive</v>
      </c>
      <c r="I938" s="26">
        <f t="shared" ca="1" si="119"/>
        <v>18.402217931344239</v>
      </c>
    </row>
    <row r="939" spans="1:9" x14ac:dyDescent="0.2">
      <c r="A939">
        <v>936</v>
      </c>
      <c r="B939" s="30">
        <f t="shared" ca="1" si="112"/>
        <v>0.129463149314475</v>
      </c>
      <c r="C939" t="b">
        <f t="shared" ca="1" si="113"/>
        <v>1</v>
      </c>
      <c r="D939">
        <f t="shared" ca="1" si="114"/>
        <v>27</v>
      </c>
      <c r="E939">
        <f t="shared" ca="1" si="115"/>
        <v>27</v>
      </c>
      <c r="F939" s="26">
        <f t="shared" ca="1" si="116"/>
        <v>4557.7282635348729</v>
      </c>
      <c r="G939" s="26">
        <f t="shared" ca="1" si="117"/>
        <v>4541.3990635122827</v>
      </c>
      <c r="H939" t="str">
        <f t="shared" ca="1" si="118"/>
        <v>Reactive</v>
      </c>
      <c r="I939" s="26">
        <f t="shared" ca="1" si="119"/>
        <v>16.329200022590157</v>
      </c>
    </row>
    <row r="940" spans="1:9" x14ac:dyDescent="0.2">
      <c r="A940">
        <v>937</v>
      </c>
      <c r="B940" s="30">
        <f t="shared" ca="1" si="112"/>
        <v>0.50983135572827309</v>
      </c>
      <c r="C940" t="b">
        <f t="shared" ca="1" si="113"/>
        <v>0</v>
      </c>
      <c r="D940">
        <f t="shared" ca="1" si="114"/>
        <v>29</v>
      </c>
      <c r="E940">
        <f t="shared" ca="1" si="115"/>
        <v>30</v>
      </c>
      <c r="F940" s="26">
        <f t="shared" ca="1" si="116"/>
        <v>4558.8279363279653</v>
      </c>
      <c r="G940" s="26">
        <f t="shared" ca="1" si="117"/>
        <v>4559.6617178712258</v>
      </c>
      <c r="H940" t="str">
        <f t="shared" ca="1" si="118"/>
        <v>Static</v>
      </c>
      <c r="I940" s="26">
        <f t="shared" ca="1" si="119"/>
        <v>-0.83378154326055665</v>
      </c>
    </row>
    <row r="941" spans="1:9" x14ac:dyDescent="0.2">
      <c r="A941">
        <v>938</v>
      </c>
      <c r="B941" s="30">
        <f t="shared" ca="1" si="112"/>
        <v>0.26865285226341173</v>
      </c>
      <c r="C941" t="b">
        <f t="shared" ca="1" si="113"/>
        <v>1</v>
      </c>
      <c r="D941">
        <f t="shared" ca="1" si="114"/>
        <v>29</v>
      </c>
      <c r="E941">
        <f t="shared" ca="1" si="115"/>
        <v>29</v>
      </c>
      <c r="F941" s="26">
        <f t="shared" ca="1" si="116"/>
        <v>4559.1227208371583</v>
      </c>
      <c r="G941" s="26">
        <f t="shared" ca="1" si="117"/>
        <v>4544.3430351523421</v>
      </c>
      <c r="H941" t="str">
        <f t="shared" ca="1" si="118"/>
        <v>Reactive</v>
      </c>
      <c r="I941" s="26">
        <f t="shared" ca="1" si="119"/>
        <v>14.779685684816286</v>
      </c>
    </row>
    <row r="942" spans="1:9" x14ac:dyDescent="0.2">
      <c r="A942">
        <v>939</v>
      </c>
      <c r="B942" s="30">
        <f t="shared" ca="1" si="112"/>
        <v>0.22513989857756211</v>
      </c>
      <c r="C942" t="b">
        <f t="shared" ca="1" si="113"/>
        <v>1</v>
      </c>
      <c r="D942">
        <f t="shared" ca="1" si="114"/>
        <v>28</v>
      </c>
      <c r="E942">
        <f t="shared" ca="1" si="115"/>
        <v>28</v>
      </c>
      <c r="F942" s="26">
        <f t="shared" ca="1" si="116"/>
        <v>4559.3064162275505</v>
      </c>
      <c r="G942" s="26">
        <f t="shared" ca="1" si="117"/>
        <v>4542.8489101464302</v>
      </c>
      <c r="H942" t="str">
        <f t="shared" ca="1" si="118"/>
        <v>Reactive</v>
      </c>
      <c r="I942" s="26">
        <f t="shared" ca="1" si="119"/>
        <v>16.4575060811203</v>
      </c>
    </row>
    <row r="943" spans="1:9" x14ac:dyDescent="0.2">
      <c r="A943">
        <v>940</v>
      </c>
      <c r="B943" s="30">
        <f t="shared" ca="1" si="112"/>
        <v>0.61728786896346177</v>
      </c>
      <c r="C943" t="b">
        <f t="shared" ca="1" si="113"/>
        <v>0</v>
      </c>
      <c r="D943">
        <f t="shared" ca="1" si="114"/>
        <v>27</v>
      </c>
      <c r="E943">
        <f t="shared" ca="1" si="115"/>
        <v>30</v>
      </c>
      <c r="F943" s="26">
        <f t="shared" ca="1" si="116"/>
        <v>4559.3489352979523</v>
      </c>
      <c r="G943" s="26">
        <f t="shared" ca="1" si="117"/>
        <v>4561.2270206946432</v>
      </c>
      <c r="H943" t="str">
        <f t="shared" ca="1" si="118"/>
        <v>Static</v>
      </c>
      <c r="I943" s="26">
        <f t="shared" ca="1" si="119"/>
        <v>-1.878085396690949</v>
      </c>
    </row>
    <row r="944" spans="1:9" x14ac:dyDescent="0.2">
      <c r="A944">
        <v>941</v>
      </c>
      <c r="B944" s="30">
        <f t="shared" ca="1" si="112"/>
        <v>0.66885181160659513</v>
      </c>
      <c r="C944" t="b">
        <f t="shared" ca="1" si="113"/>
        <v>0</v>
      </c>
      <c r="D944">
        <f t="shared" ca="1" si="114"/>
        <v>26</v>
      </c>
      <c r="E944">
        <f t="shared" ca="1" si="115"/>
        <v>30</v>
      </c>
      <c r="F944" s="26">
        <f t="shared" ca="1" si="116"/>
        <v>4559.0889544168267</v>
      </c>
      <c r="G944" s="26">
        <f t="shared" ca="1" si="117"/>
        <v>4560.9220133958534</v>
      </c>
      <c r="H944" t="str">
        <f t="shared" ca="1" si="118"/>
        <v>Static</v>
      </c>
      <c r="I944" s="26">
        <f t="shared" ca="1" si="119"/>
        <v>-1.8330589790266458</v>
      </c>
    </row>
    <row r="945" spans="1:9" x14ac:dyDescent="0.2">
      <c r="A945">
        <v>942</v>
      </c>
      <c r="B945" s="30">
        <f t="shared" ca="1" si="112"/>
        <v>0.9783536523692562</v>
      </c>
      <c r="C945" t="b">
        <f t="shared" ca="1" si="113"/>
        <v>0</v>
      </c>
      <c r="D945">
        <f t="shared" ca="1" si="114"/>
        <v>28</v>
      </c>
      <c r="E945">
        <f t="shared" ca="1" si="115"/>
        <v>30</v>
      </c>
      <c r="F945" s="26">
        <f t="shared" ca="1" si="116"/>
        <v>4560.6875115653556</v>
      </c>
      <c r="G945" s="26">
        <f t="shared" ca="1" si="117"/>
        <v>4560.065508964366</v>
      </c>
      <c r="H945" t="str">
        <f t="shared" ca="1" si="118"/>
        <v>Reactive</v>
      </c>
      <c r="I945" s="26">
        <f t="shared" ca="1" si="119"/>
        <v>0.62200260098961735</v>
      </c>
    </row>
    <row r="946" spans="1:9" x14ac:dyDescent="0.2">
      <c r="A946">
        <v>943</v>
      </c>
      <c r="B946" s="30">
        <f t="shared" ca="1" si="112"/>
        <v>0.28132393078667306</v>
      </c>
      <c r="C946" t="b">
        <f t="shared" ca="1" si="113"/>
        <v>1</v>
      </c>
      <c r="D946">
        <f t="shared" ca="1" si="114"/>
        <v>30</v>
      </c>
      <c r="E946">
        <f t="shared" ca="1" si="115"/>
        <v>30</v>
      </c>
      <c r="F946" s="26">
        <f t="shared" ca="1" si="116"/>
        <v>4558.8705504263135</v>
      </c>
      <c r="G946" s="26">
        <f t="shared" ca="1" si="117"/>
        <v>4544.1740964637302</v>
      </c>
      <c r="H946" t="str">
        <f t="shared" ca="1" si="118"/>
        <v>Reactive</v>
      </c>
      <c r="I946" s="26">
        <f t="shared" ca="1" si="119"/>
        <v>14.696453962583291</v>
      </c>
    </row>
    <row r="947" spans="1:9" x14ac:dyDescent="0.2">
      <c r="A947">
        <v>944</v>
      </c>
      <c r="B947" s="30">
        <f t="shared" ca="1" si="112"/>
        <v>0.81542359314957991</v>
      </c>
      <c r="C947" t="b">
        <f t="shared" ca="1" si="113"/>
        <v>0</v>
      </c>
      <c r="D947">
        <f t="shared" ca="1" si="114"/>
        <v>28</v>
      </c>
      <c r="E947">
        <f t="shared" ca="1" si="115"/>
        <v>30</v>
      </c>
      <c r="F947" s="26">
        <f t="shared" ca="1" si="116"/>
        <v>4557.7359250286827</v>
      </c>
      <c r="G947" s="26">
        <f t="shared" ca="1" si="117"/>
        <v>4559.5812449090063</v>
      </c>
      <c r="H947" t="str">
        <f t="shared" ca="1" si="118"/>
        <v>Static</v>
      </c>
      <c r="I947" s="26">
        <f t="shared" ca="1" si="119"/>
        <v>-1.8453198803235864</v>
      </c>
    </row>
    <row r="948" spans="1:9" x14ac:dyDescent="0.2">
      <c r="A948">
        <v>945</v>
      </c>
      <c r="B948" s="30">
        <f t="shared" ca="1" si="112"/>
        <v>8.6409711468842909E-2</v>
      </c>
      <c r="C948" t="b">
        <f t="shared" ca="1" si="113"/>
        <v>1</v>
      </c>
      <c r="D948">
        <f t="shared" ca="1" si="114"/>
        <v>28</v>
      </c>
      <c r="E948">
        <f t="shared" ca="1" si="115"/>
        <v>28</v>
      </c>
      <c r="F948" s="26">
        <f t="shared" ca="1" si="116"/>
        <v>4557.2340978091806</v>
      </c>
      <c r="G948" s="26">
        <f t="shared" ca="1" si="117"/>
        <v>4542.6798099305397</v>
      </c>
      <c r="H948" t="str">
        <f t="shared" ca="1" si="118"/>
        <v>Reactive</v>
      </c>
      <c r="I948" s="26">
        <f t="shared" ca="1" si="119"/>
        <v>14.554287878640935</v>
      </c>
    </row>
    <row r="949" spans="1:9" x14ac:dyDescent="0.2">
      <c r="A949">
        <v>946</v>
      </c>
      <c r="B949" s="30">
        <f t="shared" ca="1" si="112"/>
        <v>0.90489596586554288</v>
      </c>
      <c r="C949" t="b">
        <f t="shared" ca="1" si="113"/>
        <v>0</v>
      </c>
      <c r="D949">
        <f t="shared" ca="1" si="114"/>
        <v>27</v>
      </c>
      <c r="E949">
        <f t="shared" ca="1" si="115"/>
        <v>30</v>
      </c>
      <c r="F949" s="26">
        <f t="shared" ca="1" si="116"/>
        <v>4557.1356820762303</v>
      </c>
      <c r="G949" s="26">
        <f t="shared" ca="1" si="117"/>
        <v>4561.1387729579956</v>
      </c>
      <c r="H949" t="str">
        <f t="shared" ca="1" si="118"/>
        <v>Static</v>
      </c>
      <c r="I949" s="26">
        <f t="shared" ca="1" si="119"/>
        <v>-4.0030908817652744</v>
      </c>
    </row>
    <row r="950" spans="1:9" x14ac:dyDescent="0.2">
      <c r="A950">
        <v>947</v>
      </c>
      <c r="B950" s="30">
        <f t="shared" ca="1" si="112"/>
        <v>0.52727767780631218</v>
      </c>
      <c r="C950" t="b">
        <f t="shared" ca="1" si="113"/>
        <v>0</v>
      </c>
      <c r="D950">
        <f t="shared" ca="1" si="114"/>
        <v>30</v>
      </c>
      <c r="E950">
        <f t="shared" ca="1" si="115"/>
        <v>30</v>
      </c>
      <c r="F950" s="26">
        <f t="shared" ca="1" si="116"/>
        <v>4558.3228351329044</v>
      </c>
      <c r="G950" s="26">
        <f t="shared" ca="1" si="117"/>
        <v>4560.0751890666115</v>
      </c>
      <c r="H950" t="str">
        <f t="shared" ca="1" si="118"/>
        <v>Static</v>
      </c>
      <c r="I950" s="26">
        <f t="shared" ca="1" si="119"/>
        <v>-1.752353933707127</v>
      </c>
    </row>
    <row r="951" spans="1:9" x14ac:dyDescent="0.2">
      <c r="A951">
        <v>948</v>
      </c>
      <c r="B951" s="30">
        <f t="shared" ca="1" si="112"/>
        <v>0.37098918461595343</v>
      </c>
      <c r="C951" t="b">
        <f t="shared" ca="1" si="113"/>
        <v>0</v>
      </c>
      <c r="D951">
        <f t="shared" ca="1" si="114"/>
        <v>30</v>
      </c>
      <c r="E951">
        <f t="shared" ca="1" si="115"/>
        <v>30</v>
      </c>
      <c r="F951" s="26">
        <f t="shared" ca="1" si="116"/>
        <v>4557.8199562169957</v>
      </c>
      <c r="G951" s="26">
        <f t="shared" ca="1" si="117"/>
        <v>4561.9891711057489</v>
      </c>
      <c r="H951" t="str">
        <f t="shared" ca="1" si="118"/>
        <v>Static</v>
      </c>
      <c r="I951" s="26">
        <f t="shared" ca="1" si="119"/>
        <v>-4.1692148887532312</v>
      </c>
    </row>
    <row r="952" spans="1:9" x14ac:dyDescent="0.2">
      <c r="A952">
        <v>949</v>
      </c>
      <c r="B952" s="30">
        <f t="shared" ca="1" si="112"/>
        <v>0.13624016277150841</v>
      </c>
      <c r="C952" t="b">
        <f t="shared" ca="1" si="113"/>
        <v>1</v>
      </c>
      <c r="D952">
        <f t="shared" ca="1" si="114"/>
        <v>30</v>
      </c>
      <c r="E952">
        <f t="shared" ca="1" si="115"/>
        <v>30</v>
      </c>
      <c r="F952" s="26">
        <f t="shared" ca="1" si="116"/>
        <v>4558.4895679768979</v>
      </c>
      <c r="G952" s="26">
        <f t="shared" ca="1" si="117"/>
        <v>4543.609894178684</v>
      </c>
      <c r="H952" t="str">
        <f t="shared" ca="1" si="118"/>
        <v>Reactive</v>
      </c>
      <c r="I952" s="26">
        <f t="shared" ca="1" si="119"/>
        <v>14.879673798213844</v>
      </c>
    </row>
    <row r="953" spans="1:9" x14ac:dyDescent="0.2">
      <c r="A953">
        <v>950</v>
      </c>
      <c r="B953" s="30">
        <f t="shared" ca="1" si="112"/>
        <v>3.0950390791653293E-2</v>
      </c>
      <c r="C953" t="b">
        <f t="shared" ca="1" si="113"/>
        <v>1</v>
      </c>
      <c r="D953">
        <f t="shared" ca="1" si="114"/>
        <v>30</v>
      </c>
      <c r="E953">
        <f t="shared" ca="1" si="115"/>
        <v>30</v>
      </c>
      <c r="F953" s="26">
        <f t="shared" ca="1" si="116"/>
        <v>4561.1676834644513</v>
      </c>
      <c r="G953" s="26">
        <f t="shared" ca="1" si="117"/>
        <v>4544.0804944124811</v>
      </c>
      <c r="H953" t="str">
        <f t="shared" ca="1" si="118"/>
        <v>Reactive</v>
      </c>
      <c r="I953" s="26">
        <f t="shared" ca="1" si="119"/>
        <v>17.087189051970199</v>
      </c>
    </row>
    <row r="954" spans="1:9" x14ac:dyDescent="0.2">
      <c r="A954">
        <v>951</v>
      </c>
      <c r="B954" s="30">
        <f t="shared" ca="1" si="112"/>
        <v>0.37418502367016382</v>
      </c>
      <c r="C954" t="b">
        <f t="shared" ca="1" si="113"/>
        <v>0</v>
      </c>
      <c r="D954">
        <f t="shared" ca="1" si="114"/>
        <v>29</v>
      </c>
      <c r="E954">
        <f t="shared" ca="1" si="115"/>
        <v>30</v>
      </c>
      <c r="F954" s="26">
        <f t="shared" ca="1" si="116"/>
        <v>4559.1148065218349</v>
      </c>
      <c r="G954" s="26">
        <f t="shared" ca="1" si="117"/>
        <v>4561.2385359164473</v>
      </c>
      <c r="H954" t="str">
        <f t="shared" ca="1" si="118"/>
        <v>Static</v>
      </c>
      <c r="I954" s="26">
        <f t="shared" ca="1" si="119"/>
        <v>-2.1237293946123827</v>
      </c>
    </row>
    <row r="955" spans="1:9" x14ac:dyDescent="0.2">
      <c r="A955">
        <v>952</v>
      </c>
      <c r="B955" s="30">
        <f t="shared" ca="1" si="112"/>
        <v>6.492982087595367E-2</v>
      </c>
      <c r="C955" t="b">
        <f t="shared" ca="1" si="113"/>
        <v>1</v>
      </c>
      <c r="D955">
        <f t="shared" ca="1" si="114"/>
        <v>30</v>
      </c>
      <c r="E955">
        <f t="shared" ca="1" si="115"/>
        <v>30</v>
      </c>
      <c r="F955" s="26">
        <f t="shared" ca="1" si="116"/>
        <v>4559.0803139285226</v>
      </c>
      <c r="G955" s="26">
        <f t="shared" ca="1" si="117"/>
        <v>4542.3754124185652</v>
      </c>
      <c r="H955" t="str">
        <f t="shared" ca="1" si="118"/>
        <v>Reactive</v>
      </c>
      <c r="I955" s="26">
        <f t="shared" ca="1" si="119"/>
        <v>16.704901509957381</v>
      </c>
    </row>
    <row r="956" spans="1:9" x14ac:dyDescent="0.2">
      <c r="A956">
        <v>953</v>
      </c>
      <c r="B956" s="30">
        <f t="shared" ca="1" si="112"/>
        <v>0.51209979286847174</v>
      </c>
      <c r="C956" t="b">
        <f t="shared" ca="1" si="113"/>
        <v>0</v>
      </c>
      <c r="D956">
        <f t="shared" ca="1" si="114"/>
        <v>29</v>
      </c>
      <c r="E956">
        <f t="shared" ca="1" si="115"/>
        <v>30</v>
      </c>
      <c r="F956" s="26">
        <f t="shared" ca="1" si="116"/>
        <v>4558.8334093075655</v>
      </c>
      <c r="G956" s="26">
        <f t="shared" ca="1" si="117"/>
        <v>4558.6980003459157</v>
      </c>
      <c r="H956" t="str">
        <f t="shared" ca="1" si="118"/>
        <v>Reactive</v>
      </c>
      <c r="I956" s="26">
        <f t="shared" ca="1" si="119"/>
        <v>0.13540896164977312</v>
      </c>
    </row>
    <row r="957" spans="1:9" x14ac:dyDescent="0.2">
      <c r="A957">
        <v>954</v>
      </c>
      <c r="B957" s="30">
        <f t="shared" ca="1" si="112"/>
        <v>0.68055464755501294</v>
      </c>
      <c r="C957" t="b">
        <f t="shared" ca="1" si="113"/>
        <v>0</v>
      </c>
      <c r="D957">
        <f t="shared" ca="1" si="114"/>
        <v>27</v>
      </c>
      <c r="E957">
        <f t="shared" ca="1" si="115"/>
        <v>30</v>
      </c>
      <c r="F957" s="26">
        <f t="shared" ca="1" si="116"/>
        <v>4557.126178601241</v>
      </c>
      <c r="G957" s="26">
        <f t="shared" ca="1" si="117"/>
        <v>4560.2951436524118</v>
      </c>
      <c r="H957" t="str">
        <f t="shared" ca="1" si="118"/>
        <v>Static</v>
      </c>
      <c r="I957" s="26">
        <f t="shared" ca="1" si="119"/>
        <v>-3.1689650511707441</v>
      </c>
    </row>
    <row r="958" spans="1:9" x14ac:dyDescent="0.2">
      <c r="A958">
        <v>955</v>
      </c>
      <c r="B958" s="30">
        <f t="shared" ca="1" si="112"/>
        <v>0.7566448302434573</v>
      </c>
      <c r="C958" t="b">
        <f t="shared" ca="1" si="113"/>
        <v>0</v>
      </c>
      <c r="D958">
        <f t="shared" ca="1" si="114"/>
        <v>29</v>
      </c>
      <c r="E958">
        <f t="shared" ca="1" si="115"/>
        <v>30</v>
      </c>
      <c r="F958" s="26">
        <f t="shared" ca="1" si="116"/>
        <v>4558.4968799627341</v>
      </c>
      <c r="G958" s="26">
        <f t="shared" ca="1" si="117"/>
        <v>4560.2419704575423</v>
      </c>
      <c r="H958" t="str">
        <f t="shared" ca="1" si="118"/>
        <v>Static</v>
      </c>
      <c r="I958" s="26">
        <f t="shared" ca="1" si="119"/>
        <v>-1.7450904948082098</v>
      </c>
    </row>
    <row r="959" spans="1:9" x14ac:dyDescent="0.2">
      <c r="A959">
        <v>956</v>
      </c>
      <c r="B959" s="30">
        <f t="shared" ca="1" si="112"/>
        <v>0.87241931669702788</v>
      </c>
      <c r="C959" t="b">
        <f t="shared" ca="1" si="113"/>
        <v>0</v>
      </c>
      <c r="D959">
        <f t="shared" ca="1" si="114"/>
        <v>26</v>
      </c>
      <c r="E959">
        <f t="shared" ca="1" si="115"/>
        <v>30</v>
      </c>
      <c r="F959" s="26">
        <f t="shared" ca="1" si="116"/>
        <v>4559.5560223158618</v>
      </c>
      <c r="G959" s="26">
        <f t="shared" ca="1" si="117"/>
        <v>4562.6284877965218</v>
      </c>
      <c r="H959" t="str">
        <f t="shared" ca="1" si="118"/>
        <v>Static</v>
      </c>
      <c r="I959" s="26">
        <f t="shared" ca="1" si="119"/>
        <v>-3.0724654806599574</v>
      </c>
    </row>
    <row r="960" spans="1:9" x14ac:dyDescent="0.2">
      <c r="A960">
        <v>957</v>
      </c>
      <c r="B960" s="30">
        <f t="shared" ca="1" si="112"/>
        <v>0.48682606297806419</v>
      </c>
      <c r="C960" t="b">
        <f t="shared" ca="1" si="113"/>
        <v>0</v>
      </c>
      <c r="D960">
        <f t="shared" ca="1" si="114"/>
        <v>26</v>
      </c>
      <c r="E960">
        <f t="shared" ca="1" si="115"/>
        <v>30</v>
      </c>
      <c r="F960" s="26">
        <f t="shared" ca="1" si="116"/>
        <v>4558.9015703151981</v>
      </c>
      <c r="G960" s="26">
        <f t="shared" ca="1" si="117"/>
        <v>4561.2088571260783</v>
      </c>
      <c r="H960" t="str">
        <f t="shared" ca="1" si="118"/>
        <v>Static</v>
      </c>
      <c r="I960" s="26">
        <f t="shared" ca="1" si="119"/>
        <v>-2.307286810880214</v>
      </c>
    </row>
    <row r="961" spans="1:9" x14ac:dyDescent="0.2">
      <c r="A961">
        <v>958</v>
      </c>
      <c r="B961" s="30">
        <f t="shared" ca="1" si="112"/>
        <v>0.75746042107400935</v>
      </c>
      <c r="C961" t="b">
        <f t="shared" ca="1" si="113"/>
        <v>0</v>
      </c>
      <c r="D961">
        <f t="shared" ca="1" si="114"/>
        <v>26</v>
      </c>
      <c r="E961">
        <f t="shared" ca="1" si="115"/>
        <v>30</v>
      </c>
      <c r="F961" s="26">
        <f t="shared" ca="1" si="116"/>
        <v>4557.4010188422126</v>
      </c>
      <c r="G961" s="26">
        <f t="shared" ca="1" si="117"/>
        <v>4560.4703225161247</v>
      </c>
      <c r="H961" t="str">
        <f t="shared" ca="1" si="118"/>
        <v>Static</v>
      </c>
      <c r="I961" s="26">
        <f t="shared" ca="1" si="119"/>
        <v>-3.0693036739121453</v>
      </c>
    </row>
    <row r="962" spans="1:9" x14ac:dyDescent="0.2">
      <c r="A962">
        <v>959</v>
      </c>
      <c r="B962" s="30">
        <f t="shared" ca="1" si="112"/>
        <v>0.94870241347750994</v>
      </c>
      <c r="C962" t="b">
        <f t="shared" ca="1" si="113"/>
        <v>0</v>
      </c>
      <c r="D962">
        <f t="shared" ca="1" si="114"/>
        <v>29</v>
      </c>
      <c r="E962">
        <f t="shared" ca="1" si="115"/>
        <v>30</v>
      </c>
      <c r="F962" s="26">
        <f t="shared" ca="1" si="116"/>
        <v>4560.1919327322521</v>
      </c>
      <c r="G962" s="26">
        <f t="shared" ca="1" si="117"/>
        <v>4561.0812334990233</v>
      </c>
      <c r="H962" t="str">
        <f t="shared" ca="1" si="118"/>
        <v>Static</v>
      </c>
      <c r="I962" s="26">
        <f t="shared" ca="1" si="119"/>
        <v>-0.88930076677115721</v>
      </c>
    </row>
    <row r="963" spans="1:9" x14ac:dyDescent="0.2">
      <c r="A963">
        <v>960</v>
      </c>
      <c r="B963" s="30">
        <f t="shared" ca="1" si="112"/>
        <v>0.97294499009062896</v>
      </c>
      <c r="C963" t="b">
        <f t="shared" ca="1" si="113"/>
        <v>0</v>
      </c>
      <c r="D963">
        <f t="shared" ca="1" si="114"/>
        <v>27</v>
      </c>
      <c r="E963">
        <f t="shared" ca="1" si="115"/>
        <v>30</v>
      </c>
      <c r="F963" s="26">
        <f t="shared" ca="1" si="116"/>
        <v>4560.2037883031207</v>
      </c>
      <c r="G963" s="26">
        <f t="shared" ca="1" si="117"/>
        <v>4560.6727144827519</v>
      </c>
      <c r="H963" t="str">
        <f t="shared" ca="1" si="118"/>
        <v>Static</v>
      </c>
      <c r="I963" s="26">
        <f t="shared" ca="1" si="119"/>
        <v>-0.46892617963112571</v>
      </c>
    </row>
    <row r="964" spans="1:9" x14ac:dyDescent="0.2">
      <c r="A964">
        <v>961</v>
      </c>
      <c r="B964" s="30">
        <f t="shared" ref="B964:B1003" ca="1" si="120">RAND()</f>
        <v>0.32536525021178597</v>
      </c>
      <c r="C964" t="b">
        <f t="shared" ref="C964:C1027" ca="1" si="121">B964&lt;ProbSC</f>
        <v>1</v>
      </c>
      <c r="D964">
        <f t="shared" ref="D964:D1003" ca="1" si="122">ReactMin+INT(RAND()*(ReactMax-ReactMin+1))</f>
        <v>27</v>
      </c>
      <c r="E964">
        <f t="shared" ref="E964:E1027" ca="1" si="123">IF(C964,D964,MustLap)</f>
        <v>27</v>
      </c>
      <c r="F964" s="26">
        <f t="shared" ref="F964:F1003" ca="1" si="124">BaseLap*Laps+Deg*(PlanLap*(PlanLap-1)/2+(Laps-PlanLap)*(Laps-PlanLap-1)/2)+PitGreen+NORMINV(RAND(),0,NoiseSD)</f>
        <v>4558.074090014974</v>
      </c>
      <c r="G964" s="26">
        <f t="shared" ref="G964:G1003" ca="1" si="125">BaseLap*Laps+Deg*(E964*(E964-1)/2+(Laps-E964)*(Laps-E964-1)/2)+IF(C964,PitSC,PitGreen)+NORMINV(RAND(),0,NoiseSD)</f>
        <v>4542.6988360812256</v>
      </c>
      <c r="H964" t="str">
        <f t="shared" ref="H964:H1027" ca="1" si="126">IF(F964&lt;G964,"Static","Reactive")</f>
        <v>Reactive</v>
      </c>
      <c r="I964" s="26">
        <f t="shared" ref="I964:I1003" ca="1" si="127">F964-G964</f>
        <v>15.375253933748354</v>
      </c>
    </row>
    <row r="965" spans="1:9" x14ac:dyDescent="0.2">
      <c r="A965">
        <v>962</v>
      </c>
      <c r="B965" s="30">
        <f t="shared" ca="1" si="120"/>
        <v>0.97530104439680965</v>
      </c>
      <c r="C965" t="b">
        <f t="shared" ca="1" si="121"/>
        <v>0</v>
      </c>
      <c r="D965">
        <f t="shared" ca="1" si="122"/>
        <v>30</v>
      </c>
      <c r="E965">
        <f t="shared" ca="1" si="123"/>
        <v>30</v>
      </c>
      <c r="F965" s="26">
        <f t="shared" ca="1" si="124"/>
        <v>4558.5076598195292</v>
      </c>
      <c r="G965" s="26">
        <f t="shared" ca="1" si="125"/>
        <v>4560.3904345923966</v>
      </c>
      <c r="H965" t="str">
        <f t="shared" ca="1" si="126"/>
        <v>Static</v>
      </c>
      <c r="I965" s="26">
        <f t="shared" ca="1" si="127"/>
        <v>-1.8827747728673785</v>
      </c>
    </row>
    <row r="966" spans="1:9" x14ac:dyDescent="0.2">
      <c r="A966">
        <v>963</v>
      </c>
      <c r="B966" s="30">
        <f t="shared" ca="1" si="120"/>
        <v>0.62279124901014371</v>
      </c>
      <c r="C966" t="b">
        <f t="shared" ca="1" si="121"/>
        <v>0</v>
      </c>
      <c r="D966">
        <f t="shared" ca="1" si="122"/>
        <v>28</v>
      </c>
      <c r="E966">
        <f t="shared" ca="1" si="123"/>
        <v>30</v>
      </c>
      <c r="F966" s="26">
        <f t="shared" ca="1" si="124"/>
        <v>4558.647879546902</v>
      </c>
      <c r="G966" s="26">
        <f t="shared" ca="1" si="125"/>
        <v>4561.0147163947486</v>
      </c>
      <c r="H966" t="str">
        <f t="shared" ca="1" si="126"/>
        <v>Static</v>
      </c>
      <c r="I966" s="26">
        <f t="shared" ca="1" si="127"/>
        <v>-2.3668368478465709</v>
      </c>
    </row>
    <row r="967" spans="1:9" x14ac:dyDescent="0.2">
      <c r="A967">
        <v>964</v>
      </c>
      <c r="B967" s="30">
        <f t="shared" ca="1" si="120"/>
        <v>0.90042928003179279</v>
      </c>
      <c r="C967" t="b">
        <f t="shared" ca="1" si="121"/>
        <v>0</v>
      </c>
      <c r="D967">
        <f t="shared" ca="1" si="122"/>
        <v>29</v>
      </c>
      <c r="E967">
        <f t="shared" ca="1" si="123"/>
        <v>30</v>
      </c>
      <c r="F967" s="26">
        <f t="shared" ca="1" si="124"/>
        <v>4559.7486277006492</v>
      </c>
      <c r="G967" s="26">
        <f t="shared" ca="1" si="125"/>
        <v>4560.9342421453121</v>
      </c>
      <c r="H967" t="str">
        <f t="shared" ca="1" si="126"/>
        <v>Static</v>
      </c>
      <c r="I967" s="26">
        <f t="shared" ca="1" si="127"/>
        <v>-1.1856144446628605</v>
      </c>
    </row>
    <row r="968" spans="1:9" x14ac:dyDescent="0.2">
      <c r="A968">
        <v>965</v>
      </c>
      <c r="B968" s="30">
        <f t="shared" ca="1" si="120"/>
        <v>4.7770658270471666E-2</v>
      </c>
      <c r="C968" t="b">
        <f t="shared" ca="1" si="121"/>
        <v>1</v>
      </c>
      <c r="D968">
        <f t="shared" ca="1" si="122"/>
        <v>30</v>
      </c>
      <c r="E968">
        <f t="shared" ca="1" si="123"/>
        <v>30</v>
      </c>
      <c r="F968" s="26">
        <f t="shared" ca="1" si="124"/>
        <v>4559.8981700953582</v>
      </c>
      <c r="G968" s="26">
        <f t="shared" ca="1" si="125"/>
        <v>4544.6986449851056</v>
      </c>
      <c r="H968" t="str">
        <f t="shared" ca="1" si="126"/>
        <v>Reactive</v>
      </c>
      <c r="I968" s="26">
        <f t="shared" ca="1" si="127"/>
        <v>15.19952511025258</v>
      </c>
    </row>
    <row r="969" spans="1:9" x14ac:dyDescent="0.2">
      <c r="A969">
        <v>966</v>
      </c>
      <c r="B969" s="30">
        <f t="shared" ca="1" si="120"/>
        <v>0.15446195223280113</v>
      </c>
      <c r="C969" t="b">
        <f t="shared" ca="1" si="121"/>
        <v>1</v>
      </c>
      <c r="D969">
        <f t="shared" ca="1" si="122"/>
        <v>26</v>
      </c>
      <c r="E969">
        <f t="shared" ca="1" si="123"/>
        <v>26</v>
      </c>
      <c r="F969" s="26">
        <f t="shared" ca="1" si="124"/>
        <v>4558.150029516215</v>
      </c>
      <c r="G969" s="26">
        <f t="shared" ca="1" si="125"/>
        <v>4541.9807172167521</v>
      </c>
      <c r="H969" t="str">
        <f t="shared" ca="1" si="126"/>
        <v>Reactive</v>
      </c>
      <c r="I969" s="26">
        <f t="shared" ca="1" si="127"/>
        <v>16.169312299462945</v>
      </c>
    </row>
    <row r="970" spans="1:9" x14ac:dyDescent="0.2">
      <c r="A970">
        <v>967</v>
      </c>
      <c r="B970" s="30">
        <f t="shared" ca="1" si="120"/>
        <v>0.53763243699276408</v>
      </c>
      <c r="C970" t="b">
        <f t="shared" ca="1" si="121"/>
        <v>0</v>
      </c>
      <c r="D970">
        <f t="shared" ca="1" si="122"/>
        <v>28</v>
      </c>
      <c r="E970">
        <f t="shared" ca="1" si="123"/>
        <v>30</v>
      </c>
      <c r="F970" s="26">
        <f t="shared" ca="1" si="124"/>
        <v>4560.5187763766735</v>
      </c>
      <c r="G970" s="26">
        <f t="shared" ca="1" si="125"/>
        <v>4559.4939744761423</v>
      </c>
      <c r="H970" t="str">
        <f t="shared" ca="1" si="126"/>
        <v>Reactive</v>
      </c>
      <c r="I970" s="26">
        <f t="shared" ca="1" si="127"/>
        <v>1.0248019005312017</v>
      </c>
    </row>
    <row r="971" spans="1:9" x14ac:dyDescent="0.2">
      <c r="A971">
        <v>968</v>
      </c>
      <c r="B971" s="30">
        <f t="shared" ca="1" si="120"/>
        <v>0.43833869302243</v>
      </c>
      <c r="C971" t="b">
        <f t="shared" ca="1" si="121"/>
        <v>0</v>
      </c>
      <c r="D971">
        <f t="shared" ca="1" si="122"/>
        <v>28</v>
      </c>
      <c r="E971">
        <f t="shared" ca="1" si="123"/>
        <v>30</v>
      </c>
      <c r="F971" s="26">
        <f t="shared" ca="1" si="124"/>
        <v>4558.647581203878</v>
      </c>
      <c r="G971" s="26">
        <f t="shared" ca="1" si="125"/>
        <v>4560.0548339355628</v>
      </c>
      <c r="H971" t="str">
        <f t="shared" ca="1" si="126"/>
        <v>Static</v>
      </c>
      <c r="I971" s="26">
        <f t="shared" ca="1" si="127"/>
        <v>-1.4072527316848209</v>
      </c>
    </row>
    <row r="972" spans="1:9" x14ac:dyDescent="0.2">
      <c r="A972">
        <v>969</v>
      </c>
      <c r="B972" s="30">
        <f t="shared" ca="1" si="120"/>
        <v>0.36372176378205112</v>
      </c>
      <c r="C972" t="b">
        <f t="shared" ca="1" si="121"/>
        <v>0</v>
      </c>
      <c r="D972">
        <f t="shared" ca="1" si="122"/>
        <v>30</v>
      </c>
      <c r="E972">
        <f t="shared" ca="1" si="123"/>
        <v>30</v>
      </c>
      <c r="F972" s="26">
        <f t="shared" ca="1" si="124"/>
        <v>4560.3408995572781</v>
      </c>
      <c r="G972" s="26">
        <f t="shared" ca="1" si="125"/>
        <v>4560.8869237444487</v>
      </c>
      <c r="H972" t="str">
        <f t="shared" ca="1" si="126"/>
        <v>Static</v>
      </c>
      <c r="I972" s="26">
        <f t="shared" ca="1" si="127"/>
        <v>-0.54602418717058754</v>
      </c>
    </row>
    <row r="973" spans="1:9" x14ac:dyDescent="0.2">
      <c r="A973">
        <v>970</v>
      </c>
      <c r="B973" s="30">
        <f t="shared" ca="1" si="120"/>
        <v>0.56572881786936646</v>
      </c>
      <c r="C973" t="b">
        <f t="shared" ca="1" si="121"/>
        <v>0</v>
      </c>
      <c r="D973">
        <f t="shared" ca="1" si="122"/>
        <v>28</v>
      </c>
      <c r="E973">
        <f t="shared" ca="1" si="123"/>
        <v>30</v>
      </c>
      <c r="F973" s="26">
        <f t="shared" ca="1" si="124"/>
        <v>4559.8987399901471</v>
      </c>
      <c r="G973" s="26">
        <f t="shared" ca="1" si="125"/>
        <v>4562.4869937721778</v>
      </c>
      <c r="H973" t="str">
        <f t="shared" ca="1" si="126"/>
        <v>Static</v>
      </c>
      <c r="I973" s="26">
        <f t="shared" ca="1" si="127"/>
        <v>-2.5882537820307334</v>
      </c>
    </row>
    <row r="974" spans="1:9" x14ac:dyDescent="0.2">
      <c r="A974">
        <v>971</v>
      </c>
      <c r="B974" s="30">
        <f t="shared" ca="1" si="120"/>
        <v>0.63471952450130298</v>
      </c>
      <c r="C974" t="b">
        <f t="shared" ca="1" si="121"/>
        <v>0</v>
      </c>
      <c r="D974">
        <f t="shared" ca="1" si="122"/>
        <v>26</v>
      </c>
      <c r="E974">
        <f t="shared" ca="1" si="123"/>
        <v>30</v>
      </c>
      <c r="F974" s="26">
        <f t="shared" ca="1" si="124"/>
        <v>4558.3704255104794</v>
      </c>
      <c r="G974" s="26">
        <f t="shared" ca="1" si="125"/>
        <v>4561.0061789256952</v>
      </c>
      <c r="H974" t="str">
        <f t="shared" ca="1" si="126"/>
        <v>Static</v>
      </c>
      <c r="I974" s="26">
        <f t="shared" ca="1" si="127"/>
        <v>-2.6357534152157314</v>
      </c>
    </row>
    <row r="975" spans="1:9" x14ac:dyDescent="0.2">
      <c r="A975">
        <v>972</v>
      </c>
      <c r="B975" s="30">
        <f t="shared" ca="1" si="120"/>
        <v>0.49530794657126254</v>
      </c>
      <c r="C975" t="b">
        <f t="shared" ca="1" si="121"/>
        <v>0</v>
      </c>
      <c r="D975">
        <f t="shared" ca="1" si="122"/>
        <v>27</v>
      </c>
      <c r="E975">
        <f t="shared" ca="1" si="123"/>
        <v>30</v>
      </c>
      <c r="F975" s="26">
        <f t="shared" ca="1" si="124"/>
        <v>4558.620089588193</v>
      </c>
      <c r="G975" s="26">
        <f t="shared" ca="1" si="125"/>
        <v>4560.470001468896</v>
      </c>
      <c r="H975" t="str">
        <f t="shared" ca="1" si="126"/>
        <v>Static</v>
      </c>
      <c r="I975" s="26">
        <f t="shared" ca="1" si="127"/>
        <v>-1.8499118807030754</v>
      </c>
    </row>
    <row r="976" spans="1:9" x14ac:dyDescent="0.2">
      <c r="A976">
        <v>973</v>
      </c>
      <c r="B976" s="30">
        <f t="shared" ca="1" si="120"/>
        <v>0.10117924576517834</v>
      </c>
      <c r="C976" t="b">
        <f t="shared" ca="1" si="121"/>
        <v>1</v>
      </c>
      <c r="D976">
        <f t="shared" ca="1" si="122"/>
        <v>29</v>
      </c>
      <c r="E976">
        <f t="shared" ca="1" si="123"/>
        <v>29</v>
      </c>
      <c r="F976" s="26">
        <f t="shared" ca="1" si="124"/>
        <v>4558.9298749911304</v>
      </c>
      <c r="G976" s="26">
        <f t="shared" ca="1" si="125"/>
        <v>4542.8578211040731</v>
      </c>
      <c r="H976" t="str">
        <f t="shared" ca="1" si="126"/>
        <v>Reactive</v>
      </c>
      <c r="I976" s="26">
        <f t="shared" ca="1" si="127"/>
        <v>16.072053887057336</v>
      </c>
    </row>
    <row r="977" spans="1:9" x14ac:dyDescent="0.2">
      <c r="A977">
        <v>974</v>
      </c>
      <c r="B977" s="30">
        <f t="shared" ca="1" si="120"/>
        <v>0.81980854907420908</v>
      </c>
      <c r="C977" t="b">
        <f t="shared" ca="1" si="121"/>
        <v>0</v>
      </c>
      <c r="D977">
        <f t="shared" ca="1" si="122"/>
        <v>30</v>
      </c>
      <c r="E977">
        <f t="shared" ca="1" si="123"/>
        <v>30</v>
      </c>
      <c r="F977" s="26">
        <f t="shared" ca="1" si="124"/>
        <v>4558.9944555066231</v>
      </c>
      <c r="G977" s="26">
        <f t="shared" ca="1" si="125"/>
        <v>4561.0425629179763</v>
      </c>
      <c r="H977" t="str">
        <f t="shared" ca="1" si="126"/>
        <v>Static</v>
      </c>
      <c r="I977" s="26">
        <f t="shared" ca="1" si="127"/>
        <v>-2.0481074113531577</v>
      </c>
    </row>
    <row r="978" spans="1:9" x14ac:dyDescent="0.2">
      <c r="A978">
        <v>975</v>
      </c>
      <c r="B978" s="30">
        <f t="shared" ca="1" si="120"/>
        <v>0.54345472964249208</v>
      </c>
      <c r="C978" t="b">
        <f t="shared" ca="1" si="121"/>
        <v>0</v>
      </c>
      <c r="D978">
        <f t="shared" ca="1" si="122"/>
        <v>29</v>
      </c>
      <c r="E978">
        <f t="shared" ca="1" si="123"/>
        <v>30</v>
      </c>
      <c r="F978" s="26">
        <f t="shared" ca="1" si="124"/>
        <v>4559.0657378967016</v>
      </c>
      <c r="G978" s="26">
        <f t="shared" ca="1" si="125"/>
        <v>4559.8932068671684</v>
      </c>
      <c r="H978" t="str">
        <f t="shared" ca="1" si="126"/>
        <v>Static</v>
      </c>
      <c r="I978" s="26">
        <f t="shared" ca="1" si="127"/>
        <v>-0.8274689704667253</v>
      </c>
    </row>
    <row r="979" spans="1:9" x14ac:dyDescent="0.2">
      <c r="A979">
        <v>976</v>
      </c>
      <c r="B979" s="30">
        <f t="shared" ca="1" si="120"/>
        <v>9.9966099277301157E-2</v>
      </c>
      <c r="C979" t="b">
        <f t="shared" ca="1" si="121"/>
        <v>1</v>
      </c>
      <c r="D979">
        <f t="shared" ca="1" si="122"/>
        <v>28</v>
      </c>
      <c r="E979">
        <f t="shared" ca="1" si="123"/>
        <v>28</v>
      </c>
      <c r="F979" s="26">
        <f t="shared" ca="1" si="124"/>
        <v>4559.0047906336713</v>
      </c>
      <c r="G979" s="26">
        <f t="shared" ca="1" si="125"/>
        <v>4544.1089161517275</v>
      </c>
      <c r="H979" t="str">
        <f t="shared" ca="1" si="126"/>
        <v>Reactive</v>
      </c>
      <c r="I979" s="26">
        <f t="shared" ca="1" si="127"/>
        <v>14.895874481943792</v>
      </c>
    </row>
    <row r="980" spans="1:9" x14ac:dyDescent="0.2">
      <c r="A980">
        <v>977</v>
      </c>
      <c r="B980" s="30">
        <f t="shared" ca="1" si="120"/>
        <v>0.99695731124243347</v>
      </c>
      <c r="C980" t="b">
        <f t="shared" ca="1" si="121"/>
        <v>0</v>
      </c>
      <c r="D980">
        <f t="shared" ca="1" si="122"/>
        <v>27</v>
      </c>
      <c r="E980">
        <f t="shared" ca="1" si="123"/>
        <v>30</v>
      </c>
      <c r="F980" s="26">
        <f t="shared" ca="1" si="124"/>
        <v>4558.8819182214484</v>
      </c>
      <c r="G980" s="26">
        <f t="shared" ca="1" si="125"/>
        <v>4560.1254592746818</v>
      </c>
      <c r="H980" t="str">
        <f t="shared" ca="1" si="126"/>
        <v>Static</v>
      </c>
      <c r="I980" s="26">
        <f t="shared" ca="1" si="127"/>
        <v>-1.2435410532334572</v>
      </c>
    </row>
    <row r="981" spans="1:9" x14ac:dyDescent="0.2">
      <c r="A981">
        <v>978</v>
      </c>
      <c r="B981" s="30">
        <f t="shared" ca="1" si="120"/>
        <v>0.26835929890508281</v>
      </c>
      <c r="C981" t="b">
        <f t="shared" ca="1" si="121"/>
        <v>1</v>
      </c>
      <c r="D981">
        <f t="shared" ca="1" si="122"/>
        <v>29</v>
      </c>
      <c r="E981">
        <f t="shared" ca="1" si="123"/>
        <v>29</v>
      </c>
      <c r="F981" s="26">
        <f t="shared" ca="1" si="124"/>
        <v>4559.6925302522359</v>
      </c>
      <c r="G981" s="26">
        <f t="shared" ca="1" si="125"/>
        <v>4544.6505766909704</v>
      </c>
      <c r="H981" t="str">
        <f t="shared" ca="1" si="126"/>
        <v>Reactive</v>
      </c>
      <c r="I981" s="26">
        <f t="shared" ca="1" si="127"/>
        <v>15.041953561265473</v>
      </c>
    </row>
    <row r="982" spans="1:9" x14ac:dyDescent="0.2">
      <c r="A982">
        <v>979</v>
      </c>
      <c r="B982" s="30">
        <f t="shared" ca="1" si="120"/>
        <v>5.4106585099249593E-2</v>
      </c>
      <c r="C982" t="b">
        <f t="shared" ca="1" si="121"/>
        <v>1</v>
      </c>
      <c r="D982">
        <f t="shared" ca="1" si="122"/>
        <v>26</v>
      </c>
      <c r="E982">
        <f t="shared" ca="1" si="123"/>
        <v>26</v>
      </c>
      <c r="F982" s="26">
        <f t="shared" ca="1" si="124"/>
        <v>4559.4487838640534</v>
      </c>
      <c r="G982" s="26">
        <f t="shared" ca="1" si="125"/>
        <v>4542.8634019843512</v>
      </c>
      <c r="H982" t="str">
        <f t="shared" ca="1" si="126"/>
        <v>Reactive</v>
      </c>
      <c r="I982" s="26">
        <f t="shared" ca="1" si="127"/>
        <v>16.585381879702254</v>
      </c>
    </row>
    <row r="983" spans="1:9" x14ac:dyDescent="0.2">
      <c r="A983">
        <v>980</v>
      </c>
      <c r="B983" s="30">
        <f t="shared" ca="1" si="120"/>
        <v>0.29296312706620897</v>
      </c>
      <c r="C983" t="b">
        <f t="shared" ca="1" si="121"/>
        <v>1</v>
      </c>
      <c r="D983">
        <f t="shared" ca="1" si="122"/>
        <v>26</v>
      </c>
      <c r="E983">
        <f t="shared" ca="1" si="123"/>
        <v>26</v>
      </c>
      <c r="F983" s="26">
        <f t="shared" ca="1" si="124"/>
        <v>4558.3372357165699</v>
      </c>
      <c r="G983" s="26">
        <f t="shared" ca="1" si="125"/>
        <v>4542.2109541389691</v>
      </c>
      <c r="H983" t="str">
        <f t="shared" ca="1" si="126"/>
        <v>Reactive</v>
      </c>
      <c r="I983" s="26">
        <f t="shared" ca="1" si="127"/>
        <v>16.126281577600821</v>
      </c>
    </row>
    <row r="984" spans="1:9" x14ac:dyDescent="0.2">
      <c r="A984">
        <v>981</v>
      </c>
      <c r="B984" s="30">
        <f t="shared" ca="1" si="120"/>
        <v>0.94859169558583056</v>
      </c>
      <c r="C984" t="b">
        <f t="shared" ca="1" si="121"/>
        <v>0</v>
      </c>
      <c r="D984">
        <f t="shared" ca="1" si="122"/>
        <v>26</v>
      </c>
      <c r="E984">
        <f t="shared" ca="1" si="123"/>
        <v>30</v>
      </c>
      <c r="F984" s="26">
        <f t="shared" ca="1" si="124"/>
        <v>4558.6884381529881</v>
      </c>
      <c r="G984" s="26">
        <f t="shared" ca="1" si="125"/>
        <v>4560.9989051184148</v>
      </c>
      <c r="H984" t="str">
        <f t="shared" ca="1" si="126"/>
        <v>Static</v>
      </c>
      <c r="I984" s="26">
        <f t="shared" ca="1" si="127"/>
        <v>-2.3104669654267127</v>
      </c>
    </row>
    <row r="985" spans="1:9" x14ac:dyDescent="0.2">
      <c r="A985">
        <v>982</v>
      </c>
      <c r="B985" s="30">
        <f t="shared" ca="1" si="120"/>
        <v>0.53777958827056793</v>
      </c>
      <c r="C985" t="b">
        <f t="shared" ca="1" si="121"/>
        <v>0</v>
      </c>
      <c r="D985">
        <f t="shared" ca="1" si="122"/>
        <v>26</v>
      </c>
      <c r="E985">
        <f t="shared" ca="1" si="123"/>
        <v>30</v>
      </c>
      <c r="F985" s="26">
        <f t="shared" ca="1" si="124"/>
        <v>4559.3608412325993</v>
      </c>
      <c r="G985" s="26">
        <f t="shared" ca="1" si="125"/>
        <v>4559.9980122665338</v>
      </c>
      <c r="H985" t="str">
        <f t="shared" ca="1" si="126"/>
        <v>Static</v>
      </c>
      <c r="I985" s="26">
        <f t="shared" ca="1" si="127"/>
        <v>-0.6371710339344645</v>
      </c>
    </row>
    <row r="986" spans="1:9" x14ac:dyDescent="0.2">
      <c r="A986">
        <v>983</v>
      </c>
      <c r="B986" s="30">
        <f t="shared" ca="1" si="120"/>
        <v>1.4350708315272742E-2</v>
      </c>
      <c r="C986" t="b">
        <f t="shared" ca="1" si="121"/>
        <v>1</v>
      </c>
      <c r="D986">
        <f t="shared" ca="1" si="122"/>
        <v>29</v>
      </c>
      <c r="E986">
        <f t="shared" ca="1" si="123"/>
        <v>29</v>
      </c>
      <c r="F986" s="26">
        <f t="shared" ca="1" si="124"/>
        <v>4559.0749717687468</v>
      </c>
      <c r="G986" s="26">
        <f t="shared" ca="1" si="125"/>
        <v>4543.6527614033594</v>
      </c>
      <c r="H986" t="str">
        <f t="shared" ca="1" si="126"/>
        <v>Reactive</v>
      </c>
      <c r="I986" s="26">
        <f t="shared" ca="1" si="127"/>
        <v>15.4222103653874</v>
      </c>
    </row>
    <row r="987" spans="1:9" x14ac:dyDescent="0.2">
      <c r="A987">
        <v>984</v>
      </c>
      <c r="B987" s="30">
        <f t="shared" ca="1" si="120"/>
        <v>0.35214978416383902</v>
      </c>
      <c r="C987" t="b">
        <f t="shared" ca="1" si="121"/>
        <v>0</v>
      </c>
      <c r="D987">
        <f t="shared" ca="1" si="122"/>
        <v>27</v>
      </c>
      <c r="E987">
        <f t="shared" ca="1" si="123"/>
        <v>30</v>
      </c>
      <c r="F987" s="26">
        <f t="shared" ca="1" si="124"/>
        <v>4558.0842908418354</v>
      </c>
      <c r="G987" s="26">
        <f t="shared" ca="1" si="125"/>
        <v>4559.9866376405434</v>
      </c>
      <c r="H987" t="str">
        <f t="shared" ca="1" si="126"/>
        <v>Static</v>
      </c>
      <c r="I987" s="26">
        <f t="shared" ca="1" si="127"/>
        <v>-1.9023467987080949</v>
      </c>
    </row>
    <row r="988" spans="1:9" x14ac:dyDescent="0.2">
      <c r="A988">
        <v>985</v>
      </c>
      <c r="B988" s="30">
        <f t="shared" ca="1" si="120"/>
        <v>0.55254378797372816</v>
      </c>
      <c r="C988" t="b">
        <f t="shared" ca="1" si="121"/>
        <v>0</v>
      </c>
      <c r="D988">
        <f t="shared" ca="1" si="122"/>
        <v>28</v>
      </c>
      <c r="E988">
        <f t="shared" ca="1" si="123"/>
        <v>30</v>
      </c>
      <c r="F988" s="26">
        <f t="shared" ca="1" si="124"/>
        <v>4559.0789863738346</v>
      </c>
      <c r="G988" s="26">
        <f t="shared" ca="1" si="125"/>
        <v>4560.8532036254701</v>
      </c>
      <c r="H988" t="str">
        <f t="shared" ca="1" si="126"/>
        <v>Static</v>
      </c>
      <c r="I988" s="26">
        <f t="shared" ca="1" si="127"/>
        <v>-1.7742172516354913</v>
      </c>
    </row>
    <row r="989" spans="1:9" x14ac:dyDescent="0.2">
      <c r="A989">
        <v>986</v>
      </c>
      <c r="B989" s="30">
        <f t="shared" ca="1" si="120"/>
        <v>0.61204300944861245</v>
      </c>
      <c r="C989" t="b">
        <f t="shared" ca="1" si="121"/>
        <v>0</v>
      </c>
      <c r="D989">
        <f t="shared" ca="1" si="122"/>
        <v>29</v>
      </c>
      <c r="E989">
        <f t="shared" ca="1" si="123"/>
        <v>30</v>
      </c>
      <c r="F989" s="26">
        <f t="shared" ca="1" si="124"/>
        <v>4558.1758838024389</v>
      </c>
      <c r="G989" s="26">
        <f t="shared" ca="1" si="125"/>
        <v>4559.5030661092032</v>
      </c>
      <c r="H989" t="str">
        <f t="shared" ca="1" si="126"/>
        <v>Static</v>
      </c>
      <c r="I989" s="26">
        <f t="shared" ca="1" si="127"/>
        <v>-1.3271823067643709</v>
      </c>
    </row>
    <row r="990" spans="1:9" x14ac:dyDescent="0.2">
      <c r="A990">
        <v>987</v>
      </c>
      <c r="B990" s="30">
        <f t="shared" ca="1" si="120"/>
        <v>0.58856019119659175</v>
      </c>
      <c r="C990" t="b">
        <f t="shared" ca="1" si="121"/>
        <v>0</v>
      </c>
      <c r="D990">
        <f t="shared" ca="1" si="122"/>
        <v>29</v>
      </c>
      <c r="E990">
        <f t="shared" ca="1" si="123"/>
        <v>30</v>
      </c>
      <c r="F990" s="26">
        <f t="shared" ca="1" si="124"/>
        <v>4559.4821942154231</v>
      </c>
      <c r="G990" s="26">
        <f t="shared" ca="1" si="125"/>
        <v>4560.5398836996528</v>
      </c>
      <c r="H990" t="str">
        <f t="shared" ca="1" si="126"/>
        <v>Static</v>
      </c>
      <c r="I990" s="26">
        <f t="shared" ca="1" si="127"/>
        <v>-1.0576894842297406</v>
      </c>
    </row>
    <row r="991" spans="1:9" x14ac:dyDescent="0.2">
      <c r="A991">
        <v>988</v>
      </c>
      <c r="B991" s="30">
        <f t="shared" ca="1" si="120"/>
        <v>0.51383243440081172</v>
      </c>
      <c r="C991" t="b">
        <f t="shared" ca="1" si="121"/>
        <v>0</v>
      </c>
      <c r="D991">
        <f t="shared" ca="1" si="122"/>
        <v>27</v>
      </c>
      <c r="E991">
        <f t="shared" ca="1" si="123"/>
        <v>30</v>
      </c>
      <c r="F991" s="26">
        <f t="shared" ca="1" si="124"/>
        <v>4559.5494770772011</v>
      </c>
      <c r="G991" s="26">
        <f t="shared" ca="1" si="125"/>
        <v>4559.4556999846127</v>
      </c>
      <c r="H991" t="str">
        <f t="shared" ca="1" si="126"/>
        <v>Reactive</v>
      </c>
      <c r="I991" s="26">
        <f t="shared" ca="1" si="127"/>
        <v>9.3777092588425148E-2</v>
      </c>
    </row>
    <row r="992" spans="1:9" x14ac:dyDescent="0.2">
      <c r="A992">
        <v>989</v>
      </c>
      <c r="B992" s="30">
        <f t="shared" ca="1" si="120"/>
        <v>0.90145079430253328</v>
      </c>
      <c r="C992" t="b">
        <f t="shared" ca="1" si="121"/>
        <v>0</v>
      </c>
      <c r="D992">
        <f t="shared" ca="1" si="122"/>
        <v>26</v>
      </c>
      <c r="E992">
        <f t="shared" ca="1" si="123"/>
        <v>30</v>
      </c>
      <c r="F992" s="26">
        <f t="shared" ca="1" si="124"/>
        <v>4558.4235531867753</v>
      </c>
      <c r="G992" s="26">
        <f t="shared" ca="1" si="125"/>
        <v>4561.5580932382809</v>
      </c>
      <c r="H992" t="str">
        <f t="shared" ca="1" si="126"/>
        <v>Static</v>
      </c>
      <c r="I992" s="26">
        <f t="shared" ca="1" si="127"/>
        <v>-3.1345400515056099</v>
      </c>
    </row>
    <row r="993" spans="1:9" x14ac:dyDescent="0.2">
      <c r="A993">
        <v>990</v>
      </c>
      <c r="B993" s="30">
        <f t="shared" ca="1" si="120"/>
        <v>0.51054685229190955</v>
      </c>
      <c r="C993" t="b">
        <f t="shared" ca="1" si="121"/>
        <v>0</v>
      </c>
      <c r="D993">
        <f t="shared" ca="1" si="122"/>
        <v>29</v>
      </c>
      <c r="E993">
        <f t="shared" ca="1" si="123"/>
        <v>30</v>
      </c>
      <c r="F993" s="26">
        <f t="shared" ca="1" si="124"/>
        <v>4559.6621757390558</v>
      </c>
      <c r="G993" s="26">
        <f t="shared" ca="1" si="125"/>
        <v>4559.9595024384271</v>
      </c>
      <c r="H993" t="str">
        <f t="shared" ca="1" si="126"/>
        <v>Static</v>
      </c>
      <c r="I993" s="26">
        <f t="shared" ca="1" si="127"/>
        <v>-0.29732669937129685</v>
      </c>
    </row>
    <row r="994" spans="1:9" x14ac:dyDescent="0.2">
      <c r="A994">
        <v>991</v>
      </c>
      <c r="B994" s="30">
        <f t="shared" ca="1" si="120"/>
        <v>0.1996587722323494</v>
      </c>
      <c r="C994" t="b">
        <f t="shared" ca="1" si="121"/>
        <v>1</v>
      </c>
      <c r="D994">
        <f t="shared" ca="1" si="122"/>
        <v>26</v>
      </c>
      <c r="E994">
        <f t="shared" ca="1" si="123"/>
        <v>26</v>
      </c>
      <c r="F994" s="26">
        <f t="shared" ca="1" si="124"/>
        <v>4558.0380763106377</v>
      </c>
      <c r="G994" s="26">
        <f t="shared" ca="1" si="125"/>
        <v>4541.1811213361925</v>
      </c>
      <c r="H994" t="str">
        <f t="shared" ca="1" si="126"/>
        <v>Reactive</v>
      </c>
      <c r="I994" s="26">
        <f t="shared" ca="1" si="127"/>
        <v>16.856954974445216</v>
      </c>
    </row>
    <row r="995" spans="1:9" x14ac:dyDescent="0.2">
      <c r="A995">
        <v>992</v>
      </c>
      <c r="B995" s="30">
        <f t="shared" ca="1" si="120"/>
        <v>0.72868719674084748</v>
      </c>
      <c r="C995" t="b">
        <f t="shared" ca="1" si="121"/>
        <v>0</v>
      </c>
      <c r="D995">
        <f t="shared" ca="1" si="122"/>
        <v>30</v>
      </c>
      <c r="E995">
        <f t="shared" ca="1" si="123"/>
        <v>30</v>
      </c>
      <c r="F995" s="26">
        <f t="shared" ca="1" si="124"/>
        <v>4558.8798370914328</v>
      </c>
      <c r="G995" s="26">
        <f t="shared" ca="1" si="125"/>
        <v>4560.0971215501086</v>
      </c>
      <c r="H995" t="str">
        <f t="shared" ca="1" si="126"/>
        <v>Static</v>
      </c>
      <c r="I995" s="26">
        <f t="shared" ca="1" si="127"/>
        <v>-1.2172844586757492</v>
      </c>
    </row>
    <row r="996" spans="1:9" x14ac:dyDescent="0.2">
      <c r="A996">
        <v>993</v>
      </c>
      <c r="B996" s="30">
        <f t="shared" ca="1" si="120"/>
        <v>0.50820260924177751</v>
      </c>
      <c r="C996" t="b">
        <f t="shared" ca="1" si="121"/>
        <v>0</v>
      </c>
      <c r="D996">
        <f t="shared" ca="1" si="122"/>
        <v>27</v>
      </c>
      <c r="E996">
        <f t="shared" ca="1" si="123"/>
        <v>30</v>
      </c>
      <c r="F996" s="26">
        <f t="shared" ca="1" si="124"/>
        <v>4559.0273022170004</v>
      </c>
      <c r="G996" s="26">
        <f t="shared" ca="1" si="125"/>
        <v>4562.0973484929436</v>
      </c>
      <c r="H996" t="str">
        <f t="shared" ca="1" si="126"/>
        <v>Static</v>
      </c>
      <c r="I996" s="26">
        <f t="shared" ca="1" si="127"/>
        <v>-3.0700462759432412</v>
      </c>
    </row>
    <row r="997" spans="1:9" x14ac:dyDescent="0.2">
      <c r="A997">
        <v>994</v>
      </c>
      <c r="B997" s="30">
        <f t="shared" ca="1" si="120"/>
        <v>0.45706010633444749</v>
      </c>
      <c r="C997" t="b">
        <f t="shared" ca="1" si="121"/>
        <v>0</v>
      </c>
      <c r="D997">
        <f t="shared" ca="1" si="122"/>
        <v>28</v>
      </c>
      <c r="E997">
        <f t="shared" ca="1" si="123"/>
        <v>30</v>
      </c>
      <c r="F997" s="26">
        <f t="shared" ca="1" si="124"/>
        <v>4559.4936912561734</v>
      </c>
      <c r="G997" s="26">
        <f t="shared" ca="1" si="125"/>
        <v>4559.1868453268589</v>
      </c>
      <c r="H997" t="str">
        <f t="shared" ca="1" si="126"/>
        <v>Reactive</v>
      </c>
      <c r="I997" s="26">
        <f t="shared" ca="1" si="127"/>
        <v>0.30684592931447696</v>
      </c>
    </row>
    <row r="998" spans="1:9" x14ac:dyDescent="0.2">
      <c r="A998">
        <v>995</v>
      </c>
      <c r="B998" s="30">
        <f t="shared" ca="1" si="120"/>
        <v>0.3128815951117857</v>
      </c>
      <c r="C998" t="b">
        <f t="shared" ca="1" si="121"/>
        <v>1</v>
      </c>
      <c r="D998">
        <f t="shared" ca="1" si="122"/>
        <v>26</v>
      </c>
      <c r="E998">
        <f t="shared" ca="1" si="123"/>
        <v>26</v>
      </c>
      <c r="F998" s="26">
        <f t="shared" ca="1" si="124"/>
        <v>4560.1788848130982</v>
      </c>
      <c r="G998" s="26">
        <f t="shared" ca="1" si="125"/>
        <v>4541.4205938426867</v>
      </c>
      <c r="H998" t="str">
        <f t="shared" ca="1" si="126"/>
        <v>Reactive</v>
      </c>
      <c r="I998" s="26">
        <f t="shared" ca="1" si="127"/>
        <v>18.758290970411508</v>
      </c>
    </row>
    <row r="999" spans="1:9" x14ac:dyDescent="0.2">
      <c r="A999">
        <v>996</v>
      </c>
      <c r="B999" s="30">
        <f t="shared" ca="1" si="120"/>
        <v>0.6758532810985044</v>
      </c>
      <c r="C999" t="b">
        <f t="shared" ca="1" si="121"/>
        <v>0</v>
      </c>
      <c r="D999">
        <f t="shared" ca="1" si="122"/>
        <v>28</v>
      </c>
      <c r="E999">
        <f t="shared" ca="1" si="123"/>
        <v>30</v>
      </c>
      <c r="F999" s="26">
        <f t="shared" ca="1" si="124"/>
        <v>4559.1273624496953</v>
      </c>
      <c r="G999" s="26">
        <f t="shared" ca="1" si="125"/>
        <v>4560.4011462160188</v>
      </c>
      <c r="H999" t="str">
        <f t="shared" ca="1" si="126"/>
        <v>Static</v>
      </c>
      <c r="I999" s="26">
        <f t="shared" ca="1" si="127"/>
        <v>-1.2737837663235041</v>
      </c>
    </row>
    <row r="1000" spans="1:9" x14ac:dyDescent="0.2">
      <c r="A1000">
        <v>997</v>
      </c>
      <c r="B1000" s="30">
        <f t="shared" ca="1" si="120"/>
        <v>0.12741645536688329</v>
      </c>
      <c r="C1000" t="b">
        <f t="shared" ca="1" si="121"/>
        <v>1</v>
      </c>
      <c r="D1000">
        <f t="shared" ca="1" si="122"/>
        <v>27</v>
      </c>
      <c r="E1000">
        <f t="shared" ca="1" si="123"/>
        <v>27</v>
      </c>
      <c r="F1000" s="26">
        <f t="shared" ca="1" si="124"/>
        <v>4558.9932901585235</v>
      </c>
      <c r="G1000" s="26">
        <f t="shared" ca="1" si="125"/>
        <v>4541.9061502613959</v>
      </c>
      <c r="H1000" t="str">
        <f t="shared" ca="1" si="126"/>
        <v>Reactive</v>
      </c>
      <c r="I1000" s="26">
        <f t="shared" ca="1" si="127"/>
        <v>17.087139897127599</v>
      </c>
    </row>
    <row r="1001" spans="1:9" x14ac:dyDescent="0.2">
      <c r="A1001">
        <v>998</v>
      </c>
      <c r="B1001" s="30">
        <f t="shared" ca="1" si="120"/>
        <v>0.28826706477285469</v>
      </c>
      <c r="C1001" t="b">
        <f t="shared" ca="1" si="121"/>
        <v>1</v>
      </c>
      <c r="D1001">
        <f t="shared" ca="1" si="122"/>
        <v>27</v>
      </c>
      <c r="E1001">
        <f t="shared" ca="1" si="123"/>
        <v>27</v>
      </c>
      <c r="F1001" s="26">
        <f t="shared" ca="1" si="124"/>
        <v>4559.1412538498926</v>
      </c>
      <c r="G1001" s="26">
        <f t="shared" ca="1" si="125"/>
        <v>4540.9544775435352</v>
      </c>
      <c r="H1001" t="str">
        <f t="shared" ca="1" si="126"/>
        <v>Reactive</v>
      </c>
      <c r="I1001" s="26">
        <f t="shared" ca="1" si="127"/>
        <v>18.186776306357388</v>
      </c>
    </row>
    <row r="1002" spans="1:9" x14ac:dyDescent="0.2">
      <c r="A1002">
        <v>999</v>
      </c>
      <c r="B1002" s="30">
        <f t="shared" ca="1" si="120"/>
        <v>0.68544000909465386</v>
      </c>
      <c r="C1002" t="b">
        <f t="shared" ca="1" si="121"/>
        <v>0</v>
      </c>
      <c r="D1002">
        <f t="shared" ca="1" si="122"/>
        <v>28</v>
      </c>
      <c r="E1002">
        <f t="shared" ca="1" si="123"/>
        <v>30</v>
      </c>
      <c r="F1002" s="26">
        <f t="shared" ca="1" si="124"/>
        <v>4557.8889557814182</v>
      </c>
      <c r="G1002" s="26">
        <f t="shared" ca="1" si="125"/>
        <v>4562.214568260114</v>
      </c>
      <c r="H1002" t="str">
        <f t="shared" ca="1" si="126"/>
        <v>Static</v>
      </c>
      <c r="I1002" s="26">
        <f t="shared" ca="1" si="127"/>
        <v>-4.3256124786958026</v>
      </c>
    </row>
    <row r="1003" spans="1:9" x14ac:dyDescent="0.2">
      <c r="A1003">
        <v>1000</v>
      </c>
      <c r="B1003" s="30">
        <f t="shared" ca="1" si="120"/>
        <v>1.819139919753332E-2</v>
      </c>
      <c r="C1003" t="b">
        <f t="shared" ca="1" si="121"/>
        <v>1</v>
      </c>
      <c r="D1003">
        <f t="shared" ca="1" si="122"/>
        <v>30</v>
      </c>
      <c r="E1003">
        <f t="shared" ca="1" si="123"/>
        <v>30</v>
      </c>
      <c r="F1003" s="26">
        <f t="shared" ca="1" si="124"/>
        <v>4559.4643902366579</v>
      </c>
      <c r="G1003" s="26">
        <f t="shared" ca="1" si="125"/>
        <v>4543.3641174183658</v>
      </c>
      <c r="H1003" t="str">
        <f t="shared" ca="1" si="126"/>
        <v>Reactive</v>
      </c>
      <c r="I1003" s="26">
        <f t="shared" ca="1" si="127"/>
        <v>16.100272818292069</v>
      </c>
    </row>
  </sheetData>
  <mergeCells count="8">
    <mergeCell ref="L11:M11"/>
    <mergeCell ref="L14:M14"/>
    <mergeCell ref="L13:M13"/>
    <mergeCell ref="L17:M17"/>
    <mergeCell ref="L12:M12"/>
    <mergeCell ref="L16:M16"/>
    <mergeCell ref="L15:M15"/>
    <mergeCell ref="L18:M1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G26"/>
  <sheetViews>
    <sheetView workbookViewId="0"/>
  </sheetViews>
  <sheetFormatPr baseColWidth="10" defaultColWidth="8.83203125" defaultRowHeight="15" x14ac:dyDescent="0.2"/>
  <cols>
    <col min="1" max="2" width="14" customWidth="1"/>
    <col min="3" max="3" width="15" customWidth="1"/>
  </cols>
  <sheetData>
    <row r="1" spans="1:7" ht="19" x14ac:dyDescent="0.25">
      <c r="A1" s="33" t="s">
        <v>99</v>
      </c>
      <c r="B1" s="34"/>
      <c r="C1" s="34"/>
      <c r="D1" s="34"/>
      <c r="E1" s="34"/>
      <c r="F1" s="34"/>
      <c r="G1" s="34"/>
    </row>
    <row r="3" spans="1:7" x14ac:dyDescent="0.2">
      <c r="A3" s="9" t="s">
        <v>100</v>
      </c>
      <c r="B3" s="9" t="s">
        <v>101</v>
      </c>
      <c r="C3" s="9" t="s">
        <v>102</v>
      </c>
    </row>
    <row r="4" spans="1:7" x14ac:dyDescent="0.2">
      <c r="A4" s="26">
        <v>4540</v>
      </c>
      <c r="B4" s="35"/>
      <c r="C4" s="35"/>
    </row>
    <row r="5" spans="1:7" x14ac:dyDescent="0.2">
      <c r="A5" s="26">
        <v>4541.5</v>
      </c>
      <c r="B5" s="35"/>
      <c r="C5" s="35"/>
    </row>
    <row r="6" spans="1:7" x14ac:dyDescent="0.2">
      <c r="A6" s="26">
        <v>4543</v>
      </c>
      <c r="B6" s="35"/>
      <c r="C6" s="35"/>
    </row>
    <row r="7" spans="1:7" x14ac:dyDescent="0.2">
      <c r="A7" s="26">
        <v>4544.5</v>
      </c>
      <c r="B7" s="35"/>
      <c r="C7" s="35"/>
    </row>
    <row r="8" spans="1:7" x14ac:dyDescent="0.2">
      <c r="A8" s="26">
        <v>4546</v>
      </c>
      <c r="B8" s="35"/>
      <c r="C8" s="35"/>
    </row>
    <row r="9" spans="1:7" x14ac:dyDescent="0.2">
      <c r="A9" s="26">
        <v>4547.5</v>
      </c>
      <c r="B9" s="35"/>
      <c r="C9" s="35"/>
    </row>
    <row r="10" spans="1:7" x14ac:dyDescent="0.2">
      <c r="A10" s="26">
        <v>4549</v>
      </c>
      <c r="B10" s="35"/>
      <c r="C10" s="35"/>
    </row>
    <row r="11" spans="1:7" x14ac:dyDescent="0.2">
      <c r="A11" s="26">
        <v>4550.5</v>
      </c>
      <c r="B11" s="35"/>
      <c r="C11" s="35"/>
    </row>
    <row r="12" spans="1:7" x14ac:dyDescent="0.2">
      <c r="A12" s="26">
        <v>4552</v>
      </c>
      <c r="B12" s="35"/>
      <c r="C12" s="35"/>
    </row>
    <row r="13" spans="1:7" x14ac:dyDescent="0.2">
      <c r="A13" s="26">
        <v>4553.5</v>
      </c>
      <c r="B13" s="35"/>
      <c r="C13" s="35"/>
    </row>
    <row r="14" spans="1:7" x14ac:dyDescent="0.2">
      <c r="A14" s="26">
        <v>4555</v>
      </c>
      <c r="B14" s="35"/>
      <c r="C14" s="35"/>
    </row>
    <row r="15" spans="1:7" x14ac:dyDescent="0.2">
      <c r="A15" s="26">
        <v>4556.5</v>
      </c>
      <c r="B15" s="35"/>
      <c r="C15" s="35"/>
    </row>
    <row r="16" spans="1:7" x14ac:dyDescent="0.2">
      <c r="A16" s="26">
        <v>4558</v>
      </c>
      <c r="B16" s="35"/>
      <c r="C16" s="35"/>
    </row>
    <row r="17" spans="1:3" x14ac:dyDescent="0.2">
      <c r="A17" s="26">
        <v>4559.5</v>
      </c>
      <c r="B17" s="35"/>
      <c r="C17" s="35"/>
    </row>
    <row r="18" spans="1:3" x14ac:dyDescent="0.2">
      <c r="A18" s="26">
        <v>4561</v>
      </c>
      <c r="B18" s="35"/>
      <c r="C18" s="35"/>
    </row>
    <row r="19" spans="1:3" x14ac:dyDescent="0.2">
      <c r="A19" s="26">
        <v>4562.5</v>
      </c>
      <c r="B19" s="35"/>
      <c r="C19" s="35"/>
    </row>
    <row r="22" spans="1:3" x14ac:dyDescent="0.2">
      <c r="A22" s="42" t="s">
        <v>103</v>
      </c>
      <c r="B22" s="43"/>
      <c r="C22" s="43"/>
    </row>
    <row r="23" spans="1:3" x14ac:dyDescent="0.2">
      <c r="A23" s="43"/>
      <c r="B23" s="43"/>
      <c r="C23" s="43"/>
    </row>
    <row r="24" spans="1:3" x14ac:dyDescent="0.2">
      <c r="A24" s="43"/>
      <c r="B24" s="43"/>
      <c r="C24" s="43"/>
    </row>
    <row r="25" spans="1:3" x14ac:dyDescent="0.2">
      <c r="A25" s="43"/>
      <c r="B25" s="43"/>
      <c r="C25" s="43"/>
    </row>
    <row r="26" spans="1:3" x14ac:dyDescent="0.2">
      <c r="A26" s="43"/>
      <c r="B26" s="43"/>
      <c r="C26" s="43"/>
    </row>
  </sheetData>
  <mergeCells count="1">
    <mergeCell ref="A22:C26"/>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A19"/>
  <sheetViews>
    <sheetView tabSelected="1" workbookViewId="0"/>
  </sheetViews>
  <sheetFormatPr baseColWidth="10" defaultColWidth="8.83203125" defaultRowHeight="15" x14ac:dyDescent="0.2"/>
  <cols>
    <col min="1" max="1" width="102" customWidth="1"/>
  </cols>
  <sheetData>
    <row r="1" spans="1:1" ht="20" x14ac:dyDescent="0.2">
      <c r="A1" s="1" t="s">
        <v>104</v>
      </c>
    </row>
    <row r="2" spans="1:1" x14ac:dyDescent="0.2">
      <c r="A2" s="2"/>
    </row>
    <row r="3" spans="1:1" ht="16" x14ac:dyDescent="0.2">
      <c r="A3" s="6" t="s">
        <v>105</v>
      </c>
    </row>
    <row r="4" spans="1:1" ht="16" x14ac:dyDescent="0.2">
      <c r="A4" s="6" t="s">
        <v>106</v>
      </c>
    </row>
    <row r="5" spans="1:1" ht="16" x14ac:dyDescent="0.2">
      <c r="A5" s="6" t="s">
        <v>107</v>
      </c>
    </row>
    <row r="6" spans="1:1" x14ac:dyDescent="0.2">
      <c r="A6" s="2"/>
    </row>
    <row r="7" spans="1:1" ht="16" x14ac:dyDescent="0.2">
      <c r="A7" s="3" t="s">
        <v>108</v>
      </c>
    </row>
    <row r="8" spans="1:1" ht="16" x14ac:dyDescent="0.2">
      <c r="A8" s="2" t="s">
        <v>109</v>
      </c>
    </row>
    <row r="9" spans="1:1" ht="16" x14ac:dyDescent="0.2">
      <c r="A9" s="2" t="s">
        <v>110</v>
      </c>
    </row>
    <row r="10" spans="1:1" ht="16" x14ac:dyDescent="0.2">
      <c r="A10" s="2" t="s">
        <v>111</v>
      </c>
    </row>
    <row r="11" spans="1:1" ht="16" x14ac:dyDescent="0.2">
      <c r="A11" s="2" t="s">
        <v>112</v>
      </c>
    </row>
    <row r="12" spans="1:1" ht="16" x14ac:dyDescent="0.2">
      <c r="A12" s="2" t="s">
        <v>113</v>
      </c>
    </row>
    <row r="13" spans="1:1" ht="16" x14ac:dyDescent="0.2">
      <c r="A13" s="2" t="s">
        <v>114</v>
      </c>
    </row>
    <row r="14" spans="1:1" ht="16" x14ac:dyDescent="0.2">
      <c r="A14" s="2" t="s">
        <v>115</v>
      </c>
    </row>
    <row r="15" spans="1:1" ht="16" x14ac:dyDescent="0.2">
      <c r="A15" s="2" t="s">
        <v>116</v>
      </c>
    </row>
    <row r="16" spans="1:1" ht="16" x14ac:dyDescent="0.2">
      <c r="A16" s="2" t="s">
        <v>117</v>
      </c>
    </row>
    <row r="17" spans="1:1" ht="16" x14ac:dyDescent="0.2">
      <c r="A17" s="2" t="s">
        <v>118</v>
      </c>
    </row>
    <row r="18" spans="1:1" ht="16" x14ac:dyDescent="0.2">
      <c r="A18" s="2" t="s">
        <v>119</v>
      </c>
    </row>
    <row r="19" spans="1:1" ht="16" x14ac:dyDescent="0.2">
      <c r="A19" s="2" t="s">
        <v>120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13</vt:i4>
      </vt:variant>
    </vt:vector>
  </HeadingPairs>
  <TitlesOfParts>
    <vt:vector size="19" baseType="lpstr">
      <vt:lpstr>Read Me</vt:lpstr>
      <vt:lpstr>Inputs</vt:lpstr>
      <vt:lpstr>One Race</vt:lpstr>
      <vt:lpstr>Monte Carlo</vt:lpstr>
      <vt:lpstr>Dashboard</vt:lpstr>
      <vt:lpstr>Questions</vt:lpstr>
      <vt:lpstr>BaseLap</vt:lpstr>
      <vt:lpstr>DecisionLap</vt:lpstr>
      <vt:lpstr>Deg</vt:lpstr>
      <vt:lpstr>Laps</vt:lpstr>
      <vt:lpstr>MustLap</vt:lpstr>
      <vt:lpstr>NoiseSD</vt:lpstr>
      <vt:lpstr>PitGreen</vt:lpstr>
      <vt:lpstr>PitSC</vt:lpstr>
      <vt:lpstr>PlanLap</vt:lpstr>
      <vt:lpstr>ProbSC</vt:lpstr>
      <vt:lpstr>ReactMax</vt:lpstr>
      <vt:lpstr>ReactMin</vt:lpstr>
      <vt:lpstr>SecPerPos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piri@student.ubc.ca</cp:lastModifiedBy>
  <dcterms:created xsi:type="dcterms:W3CDTF">2026-06-15T05:20:29Z</dcterms:created>
  <dcterms:modified xsi:type="dcterms:W3CDTF">2026-06-15T05:42:25Z</dcterms:modified>
</cp:coreProperties>
</file>